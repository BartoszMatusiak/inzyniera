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9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10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11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12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3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harts/chart14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5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4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drawings/drawing5.xml" ContentType="application/vnd.openxmlformats-officedocument.drawing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drawings/drawing6.xml" ContentType="application/vnd.openxmlformats-officedocument.drawing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zejsciowka\dokumentacja\"/>
    </mc:Choice>
  </mc:AlternateContent>
  <xr:revisionPtr revIDLastSave="0" documentId="13_ncr:1_{D3F1DE60-525D-41FC-A8E3-1314B0B0A7F7}" xr6:coauthVersionLast="47" xr6:coauthVersionMax="47" xr10:uidLastSave="{00000000-0000-0000-0000-000000000000}"/>
  <bookViews>
    <workbookView xWindow="-120" yWindow="-120" windowWidth="29040" windowHeight="15990" xr2:uid="{462EC15F-3C47-424E-8234-ED64046E4979}"/>
  </bookViews>
  <sheets>
    <sheet name="variable_inlet" sheetId="6" r:id="rId1"/>
    <sheet name="Arkusz03kg" sheetId="1" r:id="rId2"/>
    <sheet name="arkusz do profilu" sheetId="5" r:id="rId3"/>
    <sheet name="Arkusz3" sheetId="2" r:id="rId4"/>
    <sheet name="Arkusz1_2" sheetId="3" r:id="rId5"/>
    <sheet name="Arkusz1" sheetId="4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Q6" i="1" l="1"/>
  <c r="CW5" i="1" s="1"/>
  <c r="BP65" i="1"/>
  <c r="BQ65" i="1"/>
  <c r="BR65" i="1"/>
  <c r="BS65" i="1"/>
  <c r="BT65" i="1"/>
  <c r="BP66" i="1"/>
  <c r="BT66" i="1"/>
  <c r="BP67" i="1"/>
  <c r="BT67" i="1"/>
  <c r="BP68" i="1"/>
  <c r="BT68" i="1"/>
  <c r="BP69" i="1"/>
  <c r="BT69" i="1"/>
  <c r="BP70" i="1"/>
  <c r="BT70" i="1"/>
  <c r="BP71" i="1"/>
  <c r="BT71" i="1"/>
  <c r="BP63" i="1"/>
  <c r="X24" i="5"/>
  <c r="X25" i="5"/>
  <c r="X26" i="5"/>
  <c r="X27" i="5"/>
  <c r="X28" i="5"/>
  <c r="X29" i="5"/>
  <c r="X30" i="5"/>
  <c r="X31" i="5"/>
  <c r="X32" i="5"/>
  <c r="X33" i="5"/>
  <c r="X34" i="5"/>
  <c r="X35" i="5"/>
  <c r="X36" i="5"/>
  <c r="X37" i="5"/>
  <c r="X38" i="5"/>
  <c r="X39" i="5"/>
  <c r="X48" i="5"/>
  <c r="X49" i="5"/>
  <c r="X50" i="5"/>
  <c r="X51" i="5"/>
  <c r="X52" i="5"/>
  <c r="X53" i="5"/>
  <c r="X54" i="5"/>
  <c r="X55" i="5"/>
  <c r="X56" i="5"/>
  <c r="X57" i="5"/>
  <c r="X58" i="5"/>
  <c r="X59" i="5"/>
  <c r="X60" i="5"/>
  <c r="X61" i="5"/>
  <c r="X62" i="5"/>
  <c r="X63" i="5"/>
  <c r="X64" i="5"/>
  <c r="X65" i="5"/>
  <c r="X66" i="5"/>
  <c r="X67" i="5"/>
  <c r="X68" i="5"/>
  <c r="X69" i="5"/>
  <c r="X70" i="5"/>
  <c r="X71" i="5"/>
  <c r="X72" i="5"/>
  <c r="X73" i="5"/>
  <c r="X74" i="5"/>
  <c r="X75" i="5"/>
  <c r="X76" i="5"/>
  <c r="X77" i="5"/>
  <c r="X78" i="5"/>
  <c r="X79" i="5"/>
  <c r="X80" i="5"/>
  <c r="X81" i="5"/>
  <c r="X82" i="5"/>
  <c r="X83" i="5"/>
  <c r="X84" i="5"/>
  <c r="X85" i="5"/>
  <c r="X86" i="5"/>
  <c r="X87" i="5"/>
  <c r="X88" i="5"/>
  <c r="X89" i="5"/>
  <c r="X90" i="5"/>
  <c r="X91" i="5"/>
  <c r="X92" i="5"/>
  <c r="X93" i="5"/>
  <c r="X94" i="5"/>
  <c r="X95" i="5"/>
  <c r="X96" i="5"/>
  <c r="X97" i="5"/>
  <c r="X98" i="5"/>
  <c r="X99" i="5"/>
  <c r="X100" i="5"/>
  <c r="X101" i="5"/>
  <c r="X102" i="5"/>
  <c r="X103" i="5"/>
  <c r="X104" i="5"/>
  <c r="X105" i="5"/>
  <c r="X106" i="5"/>
  <c r="X107" i="5"/>
  <c r="X108" i="5"/>
  <c r="X109" i="5"/>
  <c r="X110" i="5"/>
  <c r="X111" i="5"/>
  <c r="X112" i="5"/>
  <c r="X113" i="5"/>
  <c r="X114" i="5"/>
  <c r="X115" i="5"/>
  <c r="X116" i="5"/>
  <c r="X117" i="5"/>
  <c r="X118" i="5"/>
  <c r="X119" i="5"/>
  <c r="X120" i="5"/>
  <c r="X121" i="5"/>
  <c r="X122" i="5"/>
  <c r="X123" i="5"/>
  <c r="X124" i="5"/>
  <c r="X125" i="5"/>
  <c r="X126" i="5"/>
  <c r="X127" i="5"/>
  <c r="X128" i="5"/>
  <c r="X129" i="5"/>
  <c r="X130" i="5"/>
  <c r="X131" i="5"/>
  <c r="X132" i="5"/>
  <c r="X133" i="5"/>
  <c r="X134" i="5"/>
  <c r="X135" i="5"/>
  <c r="X136" i="5"/>
  <c r="X137" i="5"/>
  <c r="X138" i="5"/>
  <c r="X139" i="5"/>
  <c r="X140" i="5"/>
  <c r="X141" i="5"/>
  <c r="X142" i="5"/>
  <c r="X143" i="5"/>
  <c r="X144" i="5"/>
  <c r="X145" i="5"/>
  <c r="X146" i="5"/>
  <c r="X147" i="5"/>
  <c r="X148" i="5"/>
  <c r="X149" i="5"/>
  <c r="X150" i="5"/>
  <c r="X151" i="5"/>
  <c r="X152" i="5"/>
  <c r="X153" i="5"/>
  <c r="X154" i="5"/>
  <c r="X155" i="5"/>
  <c r="X156" i="5"/>
  <c r="X157" i="5"/>
  <c r="X158" i="5"/>
  <c r="X159" i="5"/>
  <c r="X160" i="5"/>
  <c r="X161" i="5"/>
  <c r="X162" i="5"/>
  <c r="X163" i="5"/>
  <c r="X164" i="5"/>
  <c r="X165" i="5"/>
  <c r="X166" i="5"/>
  <c r="X167" i="5"/>
  <c r="X168" i="5"/>
  <c r="X169" i="5"/>
  <c r="X170" i="5"/>
  <c r="X171" i="5"/>
  <c r="X172" i="5"/>
  <c r="X173" i="5"/>
  <c r="X174" i="5"/>
  <c r="X175" i="5"/>
  <c r="X176" i="5"/>
  <c r="X177" i="5"/>
  <c r="X178" i="5"/>
  <c r="X179" i="5"/>
  <c r="X180" i="5"/>
  <c r="X181" i="5"/>
  <c r="X182" i="5"/>
  <c r="X183" i="5"/>
  <c r="X184" i="5"/>
  <c r="X185" i="5"/>
  <c r="X186" i="5"/>
  <c r="X187" i="5"/>
  <c r="X188" i="5"/>
  <c r="X189" i="5"/>
  <c r="X190" i="5"/>
  <c r="X191" i="5"/>
  <c r="X192" i="5"/>
  <c r="X193" i="5"/>
  <c r="X194" i="5"/>
  <c r="X195" i="5"/>
  <c r="X196" i="5"/>
  <c r="X197" i="5"/>
  <c r="X198" i="5"/>
  <c r="X199" i="5"/>
  <c r="X200" i="5"/>
  <c r="X201" i="5"/>
  <c r="X202" i="5"/>
  <c r="X203" i="5"/>
  <c r="X204" i="5"/>
  <c r="X205" i="5"/>
  <c r="X206" i="5"/>
  <c r="X207" i="5"/>
  <c r="X208" i="5"/>
  <c r="X209" i="5"/>
  <c r="X210" i="5"/>
  <c r="X211" i="5"/>
  <c r="X212" i="5"/>
  <c r="X213" i="5"/>
  <c r="X214" i="5"/>
  <c r="X215" i="5"/>
  <c r="X216" i="5"/>
  <c r="X217" i="5"/>
  <c r="X218" i="5"/>
  <c r="X219" i="5"/>
  <c r="X220" i="5"/>
  <c r="X221" i="5"/>
  <c r="X222" i="5"/>
  <c r="X223" i="5"/>
  <c r="X224" i="5"/>
  <c r="X225" i="5"/>
  <c r="X226" i="5"/>
  <c r="X227" i="5"/>
  <c r="X228" i="5"/>
  <c r="X229" i="5"/>
  <c r="X230" i="5"/>
  <c r="X231" i="5"/>
  <c r="X232" i="5"/>
  <c r="X233" i="5"/>
  <c r="X234" i="5"/>
  <c r="X235" i="5"/>
  <c r="X236" i="5"/>
  <c r="X237" i="5"/>
  <c r="X238" i="5"/>
  <c r="X239" i="5"/>
  <c r="X240" i="5"/>
  <c r="X241" i="5"/>
  <c r="X242" i="5"/>
  <c r="X243" i="5"/>
  <c r="X244" i="5"/>
  <c r="X245" i="5"/>
  <c r="X246" i="5"/>
  <c r="X247" i="5"/>
  <c r="X248" i="5"/>
  <c r="X249" i="5"/>
  <c r="X250" i="5"/>
  <c r="X251" i="5"/>
  <c r="X252" i="5"/>
  <c r="X253" i="5"/>
  <c r="X254" i="5"/>
  <c r="X255" i="5"/>
  <c r="X256" i="5"/>
  <c r="X257" i="5"/>
  <c r="X258" i="5"/>
  <c r="X259" i="5"/>
  <c r="X260" i="5"/>
  <c r="X261" i="5"/>
  <c r="X262" i="5"/>
  <c r="X263" i="5"/>
  <c r="X264" i="5"/>
  <c r="X265" i="5"/>
  <c r="X266" i="5"/>
  <c r="X267" i="5"/>
  <c r="X268" i="5"/>
  <c r="X18" i="5"/>
  <c r="X19" i="5"/>
  <c r="X20" i="5"/>
  <c r="X21" i="5"/>
  <c r="X22" i="5"/>
  <c r="X23" i="5"/>
  <c r="X269" i="5"/>
  <c r="X270" i="5"/>
  <c r="X271" i="5"/>
  <c r="X272" i="5"/>
  <c r="X273" i="5"/>
  <c r="X274" i="5"/>
  <c r="X275" i="5"/>
  <c r="X276" i="5"/>
  <c r="X277" i="5"/>
  <c r="X278" i="5"/>
  <c r="X279" i="5"/>
  <c r="X280" i="5"/>
  <c r="X281" i="5"/>
  <c r="X282" i="5"/>
  <c r="X283" i="5"/>
  <c r="X284" i="5"/>
  <c r="X285" i="5"/>
  <c r="X286" i="5"/>
  <c r="X287" i="5"/>
  <c r="X288" i="5"/>
  <c r="X289" i="5"/>
  <c r="X290" i="5"/>
  <c r="X291" i="5"/>
  <c r="X292" i="5"/>
  <c r="X293" i="5"/>
  <c r="X294" i="5"/>
  <c r="X295" i="5"/>
  <c r="X296" i="5"/>
  <c r="X297" i="5"/>
  <c r="X298" i="5"/>
  <c r="X299" i="5"/>
  <c r="X300" i="5"/>
  <c r="X301" i="5"/>
  <c r="X302" i="5"/>
  <c r="X303" i="5"/>
  <c r="X304" i="5"/>
  <c r="X305" i="5"/>
  <c r="X306" i="5"/>
  <c r="X307" i="5"/>
  <c r="X308" i="5"/>
  <c r="X309" i="5"/>
  <c r="X310" i="5"/>
  <c r="X311" i="5"/>
  <c r="X312" i="5"/>
  <c r="X313" i="5"/>
  <c r="X314" i="5"/>
  <c r="X315" i="5"/>
  <c r="X316" i="5"/>
  <c r="X317" i="5"/>
  <c r="X318" i="5"/>
  <c r="X319" i="5"/>
  <c r="X320" i="5"/>
  <c r="X321" i="5"/>
  <c r="X322" i="5"/>
  <c r="X323" i="5"/>
  <c r="X324" i="5"/>
  <c r="X14" i="5"/>
  <c r="X15" i="5"/>
  <c r="X16" i="5"/>
  <c r="X17" i="5"/>
  <c r="X13" i="5"/>
  <c r="X12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68" i="5"/>
  <c r="P69" i="5"/>
  <c r="P70" i="5"/>
  <c r="P71" i="5"/>
  <c r="P72" i="5"/>
  <c r="P73" i="5"/>
  <c r="P74" i="5"/>
  <c r="P75" i="5"/>
  <c r="P76" i="5"/>
  <c r="P77" i="5"/>
  <c r="P78" i="5"/>
  <c r="P79" i="5"/>
  <c r="P80" i="5"/>
  <c r="P81" i="5"/>
  <c r="P82" i="5"/>
  <c r="P83" i="5"/>
  <c r="P84" i="5"/>
  <c r="P85" i="5"/>
  <c r="P86" i="5"/>
  <c r="P87" i="5"/>
  <c r="P88" i="5"/>
  <c r="P89" i="5"/>
  <c r="P90" i="5"/>
  <c r="P91" i="5"/>
  <c r="P92" i="5"/>
  <c r="P93" i="5"/>
  <c r="P94" i="5"/>
  <c r="P95" i="5"/>
  <c r="P96" i="5"/>
  <c r="P97" i="5"/>
  <c r="P98" i="5"/>
  <c r="P99" i="5"/>
  <c r="P100" i="5"/>
  <c r="P101" i="5"/>
  <c r="P102" i="5"/>
  <c r="P103" i="5"/>
  <c r="P104" i="5"/>
  <c r="P105" i="5"/>
  <c r="P106" i="5"/>
  <c r="P107" i="5"/>
  <c r="P108" i="5"/>
  <c r="P109" i="5"/>
  <c r="P110" i="5"/>
  <c r="P111" i="5"/>
  <c r="P112" i="5"/>
  <c r="P113" i="5"/>
  <c r="P114" i="5"/>
  <c r="P115" i="5"/>
  <c r="P116" i="5"/>
  <c r="P117" i="5"/>
  <c r="P118" i="5"/>
  <c r="P119" i="5"/>
  <c r="P120" i="5"/>
  <c r="P121" i="5"/>
  <c r="P122" i="5"/>
  <c r="P123" i="5"/>
  <c r="P124" i="5"/>
  <c r="P125" i="5"/>
  <c r="P126" i="5"/>
  <c r="P127" i="5"/>
  <c r="P128" i="5"/>
  <c r="P129" i="5"/>
  <c r="P130" i="5"/>
  <c r="P131" i="5"/>
  <c r="P132" i="5"/>
  <c r="P133" i="5"/>
  <c r="P134" i="5"/>
  <c r="P135" i="5"/>
  <c r="P136" i="5"/>
  <c r="P137" i="5"/>
  <c r="P138" i="5"/>
  <c r="P139" i="5"/>
  <c r="P140" i="5"/>
  <c r="P141" i="5"/>
  <c r="P142" i="5"/>
  <c r="P143" i="5"/>
  <c r="P144" i="5"/>
  <c r="P145" i="5"/>
  <c r="P146" i="5"/>
  <c r="P147" i="5"/>
  <c r="P148" i="5"/>
  <c r="P149" i="5"/>
  <c r="P150" i="5"/>
  <c r="P151" i="5"/>
  <c r="P152" i="5"/>
  <c r="P153" i="5"/>
  <c r="P154" i="5"/>
  <c r="P155" i="5"/>
  <c r="P156" i="5"/>
  <c r="P157" i="5"/>
  <c r="P158" i="5"/>
  <c r="P159" i="5"/>
  <c r="P160" i="5"/>
  <c r="P161" i="5"/>
  <c r="P162" i="5"/>
  <c r="P163" i="5"/>
  <c r="P164" i="5"/>
  <c r="P165" i="5"/>
  <c r="P166" i="5"/>
  <c r="P167" i="5"/>
  <c r="P168" i="5"/>
  <c r="P169" i="5"/>
  <c r="P170" i="5"/>
  <c r="P171" i="5"/>
  <c r="P172" i="5"/>
  <c r="P173" i="5"/>
  <c r="P174" i="5"/>
  <c r="P175" i="5"/>
  <c r="P176" i="5"/>
  <c r="P177" i="5"/>
  <c r="P178" i="5"/>
  <c r="P179" i="5"/>
  <c r="P180" i="5"/>
  <c r="P181" i="5"/>
  <c r="P182" i="5"/>
  <c r="P183" i="5"/>
  <c r="P184" i="5"/>
  <c r="P185" i="5"/>
  <c r="P186" i="5"/>
  <c r="P187" i="5"/>
  <c r="P188" i="5"/>
  <c r="P189" i="5"/>
  <c r="P190" i="5"/>
  <c r="P191" i="5"/>
  <c r="P192" i="5"/>
  <c r="P193" i="5"/>
  <c r="P194" i="5"/>
  <c r="P195" i="5"/>
  <c r="P196" i="5"/>
  <c r="P197" i="5"/>
  <c r="P198" i="5"/>
  <c r="P199" i="5"/>
  <c r="P200" i="5"/>
  <c r="P201" i="5"/>
  <c r="P202" i="5"/>
  <c r="P203" i="5"/>
  <c r="P204" i="5"/>
  <c r="P205" i="5"/>
  <c r="P206" i="5"/>
  <c r="P207" i="5"/>
  <c r="P208" i="5"/>
  <c r="P209" i="5"/>
  <c r="V406" i="5"/>
  <c r="V408" i="5"/>
  <c r="V410" i="5"/>
  <c r="V412" i="5"/>
  <c r="V414" i="5"/>
  <c r="V416" i="5"/>
  <c r="V418" i="5"/>
  <c r="V420" i="5"/>
  <c r="V422" i="5"/>
  <c r="V424" i="5"/>
  <c r="V426" i="5"/>
  <c r="V428" i="5"/>
  <c r="V430" i="5"/>
  <c r="V432" i="5"/>
  <c r="V434" i="5"/>
  <c r="V436" i="5"/>
  <c r="V438" i="5"/>
  <c r="V440" i="5"/>
  <c r="V442" i="5"/>
  <c r="V444" i="5"/>
  <c r="V446" i="5"/>
  <c r="V448" i="5"/>
  <c r="V450" i="5"/>
  <c r="V452" i="5"/>
  <c r="V454" i="5"/>
  <c r="V456" i="5"/>
  <c r="V458" i="5"/>
  <c r="V460" i="5"/>
  <c r="V462" i="5"/>
  <c r="V464" i="5"/>
  <c r="V466" i="5"/>
  <c r="V468" i="5"/>
  <c r="V470" i="5"/>
  <c r="V472" i="5"/>
  <c r="V474" i="5"/>
  <c r="V476" i="5"/>
  <c r="V478" i="5"/>
  <c r="V480" i="5"/>
  <c r="V482" i="5"/>
  <c r="V484" i="5"/>
  <c r="V486" i="5"/>
  <c r="V488" i="5"/>
  <c r="V490" i="5"/>
  <c r="V492" i="5"/>
  <c r="V494" i="5"/>
  <c r="V496" i="5"/>
  <c r="V498" i="5"/>
  <c r="V500" i="5"/>
  <c r="V502" i="5"/>
  <c r="V504" i="5"/>
  <c r="V506" i="5"/>
  <c r="V508" i="5"/>
  <c r="V510" i="5"/>
  <c r="V512" i="5"/>
  <c r="V514" i="5"/>
  <c r="V516" i="5"/>
  <c r="V518" i="5"/>
  <c r="V520" i="5"/>
  <c r="V522" i="5"/>
  <c r="V524" i="5"/>
  <c r="V526" i="5"/>
  <c r="V528" i="5"/>
  <c r="V530" i="5"/>
  <c r="V532" i="5"/>
  <c r="V534" i="5"/>
  <c r="V536" i="5"/>
  <c r="V538" i="5"/>
  <c r="V540" i="5"/>
  <c r="V542" i="5"/>
  <c r="V544" i="5"/>
  <c r="V546" i="5"/>
  <c r="V548" i="5"/>
  <c r="V550" i="5"/>
  <c r="V552" i="5"/>
  <c r="V554" i="5"/>
  <c r="V556" i="5"/>
  <c r="V558" i="5"/>
  <c r="V560" i="5"/>
  <c r="V562" i="5"/>
  <c r="V564" i="5"/>
  <c r="V566" i="5"/>
  <c r="V568" i="5"/>
  <c r="V570" i="5"/>
  <c r="V572" i="5"/>
  <c r="V574" i="5"/>
  <c r="V576" i="5"/>
  <c r="V578" i="5"/>
  <c r="V580" i="5"/>
  <c r="V582" i="5"/>
  <c r="V584" i="5"/>
  <c r="V586" i="5"/>
  <c r="V588" i="5"/>
  <c r="V590" i="5"/>
  <c r="V592" i="5"/>
  <c r="V594" i="5"/>
  <c r="V596" i="5"/>
  <c r="V598" i="5"/>
  <c r="V600" i="5"/>
  <c r="V602" i="5"/>
  <c r="V604" i="5"/>
  <c r="V606" i="5"/>
  <c r="V608" i="5"/>
  <c r="V610" i="5"/>
  <c r="V612" i="5"/>
  <c r="V614" i="5"/>
  <c r="V616" i="5"/>
  <c r="V618" i="5"/>
  <c r="V620" i="5"/>
  <c r="V622" i="5"/>
  <c r="V624" i="5"/>
  <c r="V626" i="5"/>
  <c r="V628" i="5"/>
  <c r="V630" i="5"/>
  <c r="V632" i="5"/>
  <c r="V634" i="5"/>
  <c r="V636" i="5"/>
  <c r="V638" i="5"/>
  <c r="V640" i="5"/>
  <c r="V642" i="5"/>
  <c r="V644" i="5"/>
  <c r="V646" i="5"/>
  <c r="V648" i="5"/>
  <c r="V650" i="5"/>
  <c r="V652" i="5"/>
  <c r="V654" i="5"/>
  <c r="V656" i="5"/>
  <c r="V658" i="5"/>
  <c r="V660" i="5"/>
  <c r="V662" i="5"/>
  <c r="V664" i="5"/>
  <c r="V666" i="5"/>
  <c r="V668" i="5"/>
  <c r="V670" i="5"/>
  <c r="V672" i="5"/>
  <c r="V674" i="5"/>
  <c r="V676" i="5"/>
  <c r="V678" i="5"/>
  <c r="V680" i="5"/>
  <c r="V682" i="5"/>
  <c r="V684" i="5"/>
  <c r="V686" i="5"/>
  <c r="V688" i="5"/>
  <c r="V690" i="5"/>
  <c r="V692" i="5"/>
  <c r="V694" i="5"/>
  <c r="V696" i="5"/>
  <c r="V698" i="5"/>
  <c r="V700" i="5"/>
  <c r="V702" i="5"/>
  <c r="V704" i="5"/>
  <c r="V706" i="5"/>
  <c r="V708" i="5"/>
  <c r="V710" i="5"/>
  <c r="V712" i="5"/>
  <c r="V714" i="5"/>
  <c r="V716" i="5"/>
  <c r="V718" i="5"/>
  <c r="V720" i="5"/>
  <c r="V722" i="5"/>
  <c r="V724" i="5"/>
  <c r="V726" i="5"/>
  <c r="V728" i="5"/>
  <c r="V730" i="5"/>
  <c r="V732" i="5"/>
  <c r="V734" i="5"/>
  <c r="V736" i="5"/>
  <c r="V738" i="5"/>
  <c r="V740" i="5"/>
  <c r="V742" i="5"/>
  <c r="V744" i="5"/>
  <c r="V746" i="5"/>
  <c r="V748" i="5"/>
  <c r="V750" i="5"/>
  <c r="V752" i="5"/>
  <c r="V754" i="5"/>
  <c r="V756" i="5"/>
  <c r="V758" i="5"/>
  <c r="V760" i="5"/>
  <c r="V762" i="5"/>
  <c r="V764" i="5"/>
  <c r="V766" i="5"/>
  <c r="V768" i="5"/>
  <c r="V770" i="5"/>
  <c r="V772" i="5"/>
  <c r="V774" i="5"/>
  <c r="V776" i="5"/>
  <c r="V778" i="5"/>
  <c r="V780" i="5"/>
  <c r="V782" i="5"/>
  <c r="V784" i="5"/>
  <c r="V786" i="5"/>
  <c r="V788" i="5"/>
  <c r="V790" i="5"/>
  <c r="V404" i="5"/>
  <c r="V402" i="5"/>
  <c r="V398" i="5"/>
  <c r="K401" i="5"/>
  <c r="L401" i="5"/>
  <c r="M401" i="5"/>
  <c r="M402" i="5"/>
  <c r="K403" i="5"/>
  <c r="L403" i="5"/>
  <c r="M403" i="5"/>
  <c r="M404" i="5"/>
  <c r="K405" i="5"/>
  <c r="L405" i="5"/>
  <c r="M405" i="5"/>
  <c r="M406" i="5"/>
  <c r="K407" i="5"/>
  <c r="L407" i="5"/>
  <c r="M407" i="5"/>
  <c r="M408" i="5"/>
  <c r="K409" i="5"/>
  <c r="L409" i="5"/>
  <c r="M409" i="5"/>
  <c r="M410" i="5"/>
  <c r="K411" i="5"/>
  <c r="L411" i="5"/>
  <c r="M411" i="5"/>
  <c r="M412" i="5"/>
  <c r="K413" i="5"/>
  <c r="L413" i="5"/>
  <c r="M413" i="5"/>
  <c r="M414" i="5"/>
  <c r="K415" i="5"/>
  <c r="L415" i="5"/>
  <c r="M415" i="5"/>
  <c r="M416" i="5"/>
  <c r="K417" i="5"/>
  <c r="L417" i="5"/>
  <c r="M417" i="5"/>
  <c r="M418" i="5"/>
  <c r="K419" i="5"/>
  <c r="L419" i="5"/>
  <c r="M419" i="5"/>
  <c r="M420" i="5"/>
  <c r="K421" i="5"/>
  <c r="L421" i="5"/>
  <c r="M421" i="5"/>
  <c r="M422" i="5"/>
  <c r="K423" i="5"/>
  <c r="L423" i="5"/>
  <c r="M423" i="5"/>
  <c r="M424" i="5"/>
  <c r="K425" i="5"/>
  <c r="L425" i="5"/>
  <c r="M425" i="5"/>
  <c r="M426" i="5"/>
  <c r="K427" i="5"/>
  <c r="L427" i="5"/>
  <c r="M427" i="5"/>
  <c r="M428" i="5"/>
  <c r="K429" i="5"/>
  <c r="L429" i="5"/>
  <c r="M429" i="5"/>
  <c r="M430" i="5"/>
  <c r="K431" i="5"/>
  <c r="L431" i="5"/>
  <c r="M431" i="5"/>
  <c r="M432" i="5"/>
  <c r="K433" i="5"/>
  <c r="L433" i="5"/>
  <c r="M433" i="5"/>
  <c r="M434" i="5"/>
  <c r="K435" i="5"/>
  <c r="L435" i="5"/>
  <c r="M435" i="5"/>
  <c r="M436" i="5"/>
  <c r="K437" i="5"/>
  <c r="L437" i="5"/>
  <c r="M437" i="5"/>
  <c r="M438" i="5"/>
  <c r="K439" i="5"/>
  <c r="L439" i="5"/>
  <c r="M439" i="5"/>
  <c r="M440" i="5"/>
  <c r="K441" i="5"/>
  <c r="L441" i="5"/>
  <c r="M441" i="5"/>
  <c r="M442" i="5"/>
  <c r="K443" i="5"/>
  <c r="L443" i="5"/>
  <c r="M443" i="5"/>
  <c r="M444" i="5"/>
  <c r="K445" i="5"/>
  <c r="L445" i="5"/>
  <c r="M445" i="5"/>
  <c r="M446" i="5"/>
  <c r="K447" i="5"/>
  <c r="L447" i="5"/>
  <c r="M447" i="5"/>
  <c r="M448" i="5"/>
  <c r="K449" i="5"/>
  <c r="L449" i="5"/>
  <c r="M449" i="5"/>
  <c r="M450" i="5"/>
  <c r="K451" i="5"/>
  <c r="L451" i="5"/>
  <c r="M451" i="5"/>
  <c r="M452" i="5"/>
  <c r="K453" i="5"/>
  <c r="L453" i="5"/>
  <c r="M453" i="5"/>
  <c r="M454" i="5"/>
  <c r="K455" i="5"/>
  <c r="L455" i="5"/>
  <c r="M455" i="5"/>
  <c r="M456" i="5"/>
  <c r="K457" i="5"/>
  <c r="L457" i="5"/>
  <c r="M457" i="5"/>
  <c r="M458" i="5"/>
  <c r="K459" i="5"/>
  <c r="L459" i="5"/>
  <c r="M459" i="5"/>
  <c r="M460" i="5"/>
  <c r="K461" i="5"/>
  <c r="L461" i="5"/>
  <c r="M461" i="5"/>
  <c r="M462" i="5"/>
  <c r="K463" i="5"/>
  <c r="L463" i="5"/>
  <c r="M463" i="5"/>
  <c r="M464" i="5"/>
  <c r="K465" i="5"/>
  <c r="L465" i="5"/>
  <c r="M465" i="5"/>
  <c r="M466" i="5"/>
  <c r="K467" i="5"/>
  <c r="L467" i="5"/>
  <c r="M467" i="5"/>
  <c r="M468" i="5"/>
  <c r="K469" i="5"/>
  <c r="L469" i="5"/>
  <c r="M469" i="5"/>
  <c r="M470" i="5"/>
  <c r="K471" i="5"/>
  <c r="L471" i="5"/>
  <c r="M471" i="5"/>
  <c r="M472" i="5"/>
  <c r="K473" i="5"/>
  <c r="L473" i="5"/>
  <c r="M473" i="5"/>
  <c r="M474" i="5"/>
  <c r="K475" i="5"/>
  <c r="L475" i="5"/>
  <c r="M475" i="5"/>
  <c r="M476" i="5"/>
  <c r="K477" i="5"/>
  <c r="L477" i="5"/>
  <c r="M477" i="5"/>
  <c r="M478" i="5"/>
  <c r="K479" i="5"/>
  <c r="L479" i="5"/>
  <c r="M479" i="5"/>
  <c r="M480" i="5"/>
  <c r="K481" i="5"/>
  <c r="L481" i="5"/>
  <c r="M481" i="5"/>
  <c r="M482" i="5"/>
  <c r="K483" i="5"/>
  <c r="L483" i="5"/>
  <c r="M483" i="5"/>
  <c r="M484" i="5"/>
  <c r="K485" i="5"/>
  <c r="L485" i="5"/>
  <c r="M485" i="5"/>
  <c r="M486" i="5"/>
  <c r="K487" i="5"/>
  <c r="L487" i="5"/>
  <c r="M487" i="5"/>
  <c r="M488" i="5"/>
  <c r="K489" i="5"/>
  <c r="L489" i="5"/>
  <c r="M489" i="5"/>
  <c r="M490" i="5"/>
  <c r="K491" i="5"/>
  <c r="L491" i="5"/>
  <c r="M491" i="5"/>
  <c r="M492" i="5"/>
  <c r="K493" i="5"/>
  <c r="L493" i="5"/>
  <c r="M493" i="5"/>
  <c r="M494" i="5"/>
  <c r="K495" i="5"/>
  <c r="L495" i="5"/>
  <c r="M495" i="5"/>
  <c r="M496" i="5"/>
  <c r="K497" i="5"/>
  <c r="L497" i="5"/>
  <c r="M497" i="5"/>
  <c r="M498" i="5"/>
  <c r="K499" i="5"/>
  <c r="L499" i="5"/>
  <c r="M499" i="5"/>
  <c r="M500" i="5"/>
  <c r="K501" i="5"/>
  <c r="L501" i="5"/>
  <c r="M501" i="5"/>
  <c r="M502" i="5"/>
  <c r="K503" i="5"/>
  <c r="L503" i="5"/>
  <c r="M503" i="5"/>
  <c r="M504" i="5"/>
  <c r="K505" i="5"/>
  <c r="L505" i="5"/>
  <c r="M505" i="5"/>
  <c r="M506" i="5"/>
  <c r="K507" i="5"/>
  <c r="L507" i="5"/>
  <c r="M507" i="5"/>
  <c r="M508" i="5"/>
  <c r="K509" i="5"/>
  <c r="L509" i="5"/>
  <c r="M509" i="5"/>
  <c r="M510" i="5"/>
  <c r="K511" i="5"/>
  <c r="L511" i="5"/>
  <c r="M511" i="5"/>
  <c r="M512" i="5"/>
  <c r="K513" i="5"/>
  <c r="L513" i="5"/>
  <c r="M513" i="5"/>
  <c r="M514" i="5"/>
  <c r="K515" i="5"/>
  <c r="L515" i="5"/>
  <c r="M515" i="5"/>
  <c r="M516" i="5"/>
  <c r="K517" i="5"/>
  <c r="L517" i="5"/>
  <c r="M517" i="5"/>
  <c r="M518" i="5"/>
  <c r="K519" i="5"/>
  <c r="L519" i="5"/>
  <c r="M519" i="5"/>
  <c r="M520" i="5"/>
  <c r="K521" i="5"/>
  <c r="L521" i="5"/>
  <c r="M521" i="5"/>
  <c r="M522" i="5"/>
  <c r="K523" i="5"/>
  <c r="L523" i="5"/>
  <c r="M523" i="5"/>
  <c r="M524" i="5"/>
  <c r="K525" i="5"/>
  <c r="L525" i="5"/>
  <c r="M525" i="5"/>
  <c r="M526" i="5"/>
  <c r="K527" i="5"/>
  <c r="L527" i="5"/>
  <c r="M527" i="5"/>
  <c r="M528" i="5"/>
  <c r="K529" i="5"/>
  <c r="L529" i="5"/>
  <c r="M529" i="5"/>
  <c r="M530" i="5"/>
  <c r="K531" i="5"/>
  <c r="L531" i="5"/>
  <c r="M531" i="5"/>
  <c r="M532" i="5"/>
  <c r="K533" i="5"/>
  <c r="L533" i="5"/>
  <c r="M533" i="5"/>
  <c r="M534" i="5"/>
  <c r="K535" i="5"/>
  <c r="L535" i="5"/>
  <c r="M535" i="5"/>
  <c r="M536" i="5"/>
  <c r="K537" i="5"/>
  <c r="L537" i="5"/>
  <c r="M537" i="5"/>
  <c r="M538" i="5"/>
  <c r="K539" i="5"/>
  <c r="L539" i="5"/>
  <c r="M539" i="5"/>
  <c r="M540" i="5"/>
  <c r="K541" i="5"/>
  <c r="L541" i="5"/>
  <c r="M541" i="5"/>
  <c r="M542" i="5"/>
  <c r="K543" i="5"/>
  <c r="L543" i="5"/>
  <c r="M543" i="5"/>
  <c r="M544" i="5"/>
  <c r="K545" i="5"/>
  <c r="L545" i="5"/>
  <c r="M545" i="5"/>
  <c r="M546" i="5"/>
  <c r="K547" i="5"/>
  <c r="L547" i="5"/>
  <c r="M547" i="5"/>
  <c r="M548" i="5"/>
  <c r="K549" i="5"/>
  <c r="L549" i="5"/>
  <c r="M549" i="5"/>
  <c r="M550" i="5"/>
  <c r="K551" i="5"/>
  <c r="L551" i="5"/>
  <c r="M551" i="5"/>
  <c r="M552" i="5"/>
  <c r="K553" i="5"/>
  <c r="L553" i="5"/>
  <c r="M553" i="5"/>
  <c r="M554" i="5"/>
  <c r="K555" i="5"/>
  <c r="L555" i="5"/>
  <c r="M555" i="5"/>
  <c r="M556" i="5"/>
  <c r="K557" i="5"/>
  <c r="L557" i="5"/>
  <c r="M557" i="5"/>
  <c r="M558" i="5"/>
  <c r="K559" i="5"/>
  <c r="L559" i="5"/>
  <c r="M559" i="5"/>
  <c r="M560" i="5"/>
  <c r="K561" i="5"/>
  <c r="L561" i="5"/>
  <c r="M561" i="5"/>
  <c r="M562" i="5"/>
  <c r="K563" i="5"/>
  <c r="L563" i="5"/>
  <c r="M563" i="5"/>
  <c r="M564" i="5"/>
  <c r="K565" i="5"/>
  <c r="L565" i="5"/>
  <c r="M565" i="5"/>
  <c r="M566" i="5"/>
  <c r="K567" i="5"/>
  <c r="L567" i="5"/>
  <c r="M567" i="5"/>
  <c r="M568" i="5"/>
  <c r="K569" i="5"/>
  <c r="L569" i="5"/>
  <c r="M569" i="5"/>
  <c r="M570" i="5"/>
  <c r="K571" i="5"/>
  <c r="L571" i="5"/>
  <c r="M571" i="5"/>
  <c r="M572" i="5"/>
  <c r="K573" i="5"/>
  <c r="L573" i="5"/>
  <c r="M573" i="5"/>
  <c r="M574" i="5"/>
  <c r="K575" i="5"/>
  <c r="L575" i="5"/>
  <c r="M575" i="5"/>
  <c r="M576" i="5"/>
  <c r="K577" i="5"/>
  <c r="L577" i="5"/>
  <c r="M577" i="5"/>
  <c r="M578" i="5"/>
  <c r="K579" i="5"/>
  <c r="L579" i="5"/>
  <c r="M579" i="5"/>
  <c r="M580" i="5"/>
  <c r="K581" i="5"/>
  <c r="L581" i="5"/>
  <c r="M581" i="5"/>
  <c r="M582" i="5"/>
  <c r="K583" i="5"/>
  <c r="L583" i="5"/>
  <c r="M583" i="5"/>
  <c r="M584" i="5"/>
  <c r="K585" i="5"/>
  <c r="L585" i="5"/>
  <c r="M585" i="5"/>
  <c r="M586" i="5"/>
  <c r="K587" i="5"/>
  <c r="L587" i="5"/>
  <c r="M587" i="5"/>
  <c r="M588" i="5"/>
  <c r="K589" i="5"/>
  <c r="L589" i="5"/>
  <c r="M589" i="5"/>
  <c r="M590" i="5"/>
  <c r="K591" i="5"/>
  <c r="L591" i="5"/>
  <c r="M591" i="5"/>
  <c r="M592" i="5"/>
  <c r="K593" i="5"/>
  <c r="L593" i="5"/>
  <c r="M593" i="5"/>
  <c r="M594" i="5"/>
  <c r="K595" i="5"/>
  <c r="L595" i="5"/>
  <c r="M595" i="5"/>
  <c r="M596" i="5"/>
  <c r="K597" i="5"/>
  <c r="L597" i="5"/>
  <c r="M597" i="5"/>
  <c r="M598" i="5"/>
  <c r="K599" i="5"/>
  <c r="L599" i="5"/>
  <c r="M599" i="5"/>
  <c r="M600" i="5"/>
  <c r="K601" i="5"/>
  <c r="L601" i="5"/>
  <c r="M601" i="5"/>
  <c r="M602" i="5"/>
  <c r="K603" i="5"/>
  <c r="L603" i="5"/>
  <c r="M603" i="5"/>
  <c r="M604" i="5"/>
  <c r="K605" i="5"/>
  <c r="L605" i="5"/>
  <c r="M605" i="5"/>
  <c r="M606" i="5"/>
  <c r="K607" i="5"/>
  <c r="L607" i="5"/>
  <c r="M607" i="5"/>
  <c r="M608" i="5"/>
  <c r="K609" i="5"/>
  <c r="L609" i="5"/>
  <c r="M609" i="5"/>
  <c r="M610" i="5"/>
  <c r="K611" i="5"/>
  <c r="L611" i="5"/>
  <c r="M611" i="5"/>
  <c r="M612" i="5"/>
  <c r="K613" i="5"/>
  <c r="L613" i="5"/>
  <c r="M613" i="5"/>
  <c r="M614" i="5"/>
  <c r="K615" i="5"/>
  <c r="L615" i="5"/>
  <c r="M615" i="5"/>
  <c r="M616" i="5"/>
  <c r="K617" i="5"/>
  <c r="L617" i="5"/>
  <c r="M617" i="5"/>
  <c r="M618" i="5"/>
  <c r="K619" i="5"/>
  <c r="L619" i="5"/>
  <c r="M619" i="5"/>
  <c r="M620" i="5"/>
  <c r="K621" i="5"/>
  <c r="L621" i="5"/>
  <c r="M621" i="5"/>
  <c r="M622" i="5"/>
  <c r="K623" i="5"/>
  <c r="L623" i="5"/>
  <c r="M623" i="5"/>
  <c r="M624" i="5"/>
  <c r="K625" i="5"/>
  <c r="L625" i="5"/>
  <c r="M625" i="5"/>
  <c r="M626" i="5"/>
  <c r="K627" i="5"/>
  <c r="L627" i="5"/>
  <c r="M627" i="5"/>
  <c r="M628" i="5"/>
  <c r="K629" i="5"/>
  <c r="L629" i="5"/>
  <c r="M629" i="5"/>
  <c r="M630" i="5"/>
  <c r="K631" i="5"/>
  <c r="L631" i="5"/>
  <c r="M631" i="5"/>
  <c r="M632" i="5"/>
  <c r="K633" i="5"/>
  <c r="L633" i="5"/>
  <c r="M633" i="5"/>
  <c r="M634" i="5"/>
  <c r="K635" i="5"/>
  <c r="L635" i="5"/>
  <c r="M635" i="5"/>
  <c r="M636" i="5"/>
  <c r="K637" i="5"/>
  <c r="L637" i="5"/>
  <c r="M637" i="5"/>
  <c r="M638" i="5"/>
  <c r="K639" i="5"/>
  <c r="L639" i="5"/>
  <c r="M639" i="5"/>
  <c r="M640" i="5"/>
  <c r="K641" i="5"/>
  <c r="L641" i="5"/>
  <c r="M641" i="5"/>
  <c r="M642" i="5"/>
  <c r="K643" i="5"/>
  <c r="L643" i="5"/>
  <c r="M643" i="5"/>
  <c r="M644" i="5"/>
  <c r="K645" i="5"/>
  <c r="L645" i="5"/>
  <c r="M645" i="5"/>
  <c r="M646" i="5"/>
  <c r="K647" i="5"/>
  <c r="L647" i="5"/>
  <c r="M647" i="5"/>
  <c r="M648" i="5"/>
  <c r="K649" i="5"/>
  <c r="L649" i="5"/>
  <c r="M649" i="5"/>
  <c r="M650" i="5"/>
  <c r="K651" i="5"/>
  <c r="L651" i="5"/>
  <c r="M651" i="5"/>
  <c r="M652" i="5"/>
  <c r="K653" i="5"/>
  <c r="L653" i="5"/>
  <c r="M653" i="5"/>
  <c r="M654" i="5"/>
  <c r="K655" i="5"/>
  <c r="L655" i="5"/>
  <c r="M655" i="5"/>
  <c r="M656" i="5"/>
  <c r="K657" i="5"/>
  <c r="L657" i="5"/>
  <c r="M657" i="5"/>
  <c r="M658" i="5"/>
  <c r="K659" i="5"/>
  <c r="L659" i="5"/>
  <c r="M659" i="5"/>
  <c r="M660" i="5"/>
  <c r="K661" i="5"/>
  <c r="L661" i="5"/>
  <c r="M661" i="5"/>
  <c r="M662" i="5"/>
  <c r="K663" i="5"/>
  <c r="L663" i="5"/>
  <c r="M663" i="5"/>
  <c r="M664" i="5"/>
  <c r="K665" i="5"/>
  <c r="L665" i="5"/>
  <c r="M665" i="5"/>
  <c r="M666" i="5"/>
  <c r="K667" i="5"/>
  <c r="L667" i="5"/>
  <c r="M667" i="5"/>
  <c r="M668" i="5"/>
  <c r="K669" i="5"/>
  <c r="L669" i="5"/>
  <c r="M669" i="5"/>
  <c r="M670" i="5"/>
  <c r="K671" i="5"/>
  <c r="L671" i="5"/>
  <c r="M671" i="5"/>
  <c r="M672" i="5"/>
  <c r="K673" i="5"/>
  <c r="L673" i="5"/>
  <c r="M673" i="5"/>
  <c r="M674" i="5"/>
  <c r="K675" i="5"/>
  <c r="L675" i="5"/>
  <c r="M675" i="5"/>
  <c r="M676" i="5"/>
  <c r="K677" i="5"/>
  <c r="L677" i="5"/>
  <c r="M677" i="5"/>
  <c r="M678" i="5"/>
  <c r="K679" i="5"/>
  <c r="L679" i="5"/>
  <c r="M679" i="5"/>
  <c r="M680" i="5"/>
  <c r="K681" i="5"/>
  <c r="L681" i="5"/>
  <c r="M681" i="5"/>
  <c r="M682" i="5"/>
  <c r="K683" i="5"/>
  <c r="L683" i="5"/>
  <c r="M683" i="5"/>
  <c r="M684" i="5"/>
  <c r="K685" i="5"/>
  <c r="L685" i="5"/>
  <c r="M685" i="5"/>
  <c r="M686" i="5"/>
  <c r="K687" i="5"/>
  <c r="L687" i="5"/>
  <c r="M687" i="5"/>
  <c r="M688" i="5"/>
  <c r="K689" i="5"/>
  <c r="L689" i="5"/>
  <c r="M689" i="5"/>
  <c r="M690" i="5"/>
  <c r="K691" i="5"/>
  <c r="L691" i="5"/>
  <c r="M691" i="5"/>
  <c r="M692" i="5"/>
  <c r="K693" i="5"/>
  <c r="L693" i="5"/>
  <c r="M693" i="5"/>
  <c r="M694" i="5"/>
  <c r="K695" i="5"/>
  <c r="L695" i="5"/>
  <c r="M695" i="5"/>
  <c r="M696" i="5"/>
  <c r="K697" i="5"/>
  <c r="L697" i="5"/>
  <c r="M697" i="5"/>
  <c r="M698" i="5"/>
  <c r="K699" i="5"/>
  <c r="L699" i="5"/>
  <c r="M699" i="5"/>
  <c r="M700" i="5"/>
  <c r="K701" i="5"/>
  <c r="L701" i="5"/>
  <c r="M701" i="5"/>
  <c r="M702" i="5"/>
  <c r="K703" i="5"/>
  <c r="L703" i="5"/>
  <c r="M703" i="5"/>
  <c r="M704" i="5"/>
  <c r="K705" i="5"/>
  <c r="L705" i="5"/>
  <c r="M705" i="5"/>
  <c r="M706" i="5"/>
  <c r="K707" i="5"/>
  <c r="L707" i="5"/>
  <c r="M707" i="5"/>
  <c r="M708" i="5"/>
  <c r="K709" i="5"/>
  <c r="L709" i="5"/>
  <c r="M709" i="5"/>
  <c r="M710" i="5"/>
  <c r="K711" i="5"/>
  <c r="L711" i="5"/>
  <c r="M711" i="5"/>
  <c r="M712" i="5"/>
  <c r="K713" i="5"/>
  <c r="L713" i="5"/>
  <c r="M713" i="5"/>
  <c r="M714" i="5"/>
  <c r="K715" i="5"/>
  <c r="L715" i="5"/>
  <c r="M715" i="5"/>
  <c r="M716" i="5"/>
  <c r="K717" i="5"/>
  <c r="L717" i="5"/>
  <c r="M717" i="5"/>
  <c r="M718" i="5"/>
  <c r="K719" i="5"/>
  <c r="L719" i="5"/>
  <c r="M719" i="5"/>
  <c r="M720" i="5"/>
  <c r="K721" i="5"/>
  <c r="L721" i="5"/>
  <c r="M721" i="5"/>
  <c r="M722" i="5"/>
  <c r="K723" i="5"/>
  <c r="L723" i="5"/>
  <c r="M723" i="5"/>
  <c r="M724" i="5"/>
  <c r="K725" i="5"/>
  <c r="L725" i="5"/>
  <c r="M725" i="5"/>
  <c r="M726" i="5"/>
  <c r="K727" i="5"/>
  <c r="L727" i="5"/>
  <c r="M727" i="5"/>
  <c r="M728" i="5"/>
  <c r="K729" i="5"/>
  <c r="L729" i="5"/>
  <c r="M729" i="5"/>
  <c r="M730" i="5"/>
  <c r="K731" i="5"/>
  <c r="L731" i="5"/>
  <c r="M731" i="5"/>
  <c r="M732" i="5"/>
  <c r="K733" i="5"/>
  <c r="L733" i="5"/>
  <c r="M733" i="5"/>
  <c r="M734" i="5"/>
  <c r="K735" i="5"/>
  <c r="L735" i="5"/>
  <c r="M735" i="5"/>
  <c r="M736" i="5"/>
  <c r="K737" i="5"/>
  <c r="L737" i="5"/>
  <c r="M737" i="5"/>
  <c r="M738" i="5"/>
  <c r="K739" i="5"/>
  <c r="L739" i="5"/>
  <c r="M739" i="5"/>
  <c r="M740" i="5"/>
  <c r="K741" i="5"/>
  <c r="L741" i="5"/>
  <c r="M741" i="5"/>
  <c r="M742" i="5"/>
  <c r="K743" i="5"/>
  <c r="L743" i="5"/>
  <c r="M743" i="5"/>
  <c r="M744" i="5"/>
  <c r="K745" i="5"/>
  <c r="L745" i="5"/>
  <c r="M745" i="5"/>
  <c r="M746" i="5"/>
  <c r="K747" i="5"/>
  <c r="L747" i="5"/>
  <c r="M747" i="5"/>
  <c r="M748" i="5"/>
  <c r="K749" i="5"/>
  <c r="L749" i="5"/>
  <c r="M749" i="5"/>
  <c r="M750" i="5"/>
  <c r="K751" i="5"/>
  <c r="L751" i="5"/>
  <c r="M751" i="5"/>
  <c r="M752" i="5"/>
  <c r="K753" i="5"/>
  <c r="L753" i="5"/>
  <c r="M753" i="5"/>
  <c r="M754" i="5"/>
  <c r="K755" i="5"/>
  <c r="L755" i="5"/>
  <c r="M755" i="5"/>
  <c r="M756" i="5"/>
  <c r="K757" i="5"/>
  <c r="L757" i="5"/>
  <c r="M757" i="5"/>
  <c r="M758" i="5"/>
  <c r="K759" i="5"/>
  <c r="L759" i="5"/>
  <c r="M759" i="5"/>
  <c r="M760" i="5"/>
  <c r="K761" i="5"/>
  <c r="L761" i="5"/>
  <c r="M761" i="5"/>
  <c r="M762" i="5"/>
  <c r="K763" i="5"/>
  <c r="L763" i="5"/>
  <c r="M763" i="5"/>
  <c r="M764" i="5"/>
  <c r="K765" i="5"/>
  <c r="L765" i="5"/>
  <c r="M765" i="5"/>
  <c r="M766" i="5"/>
  <c r="K767" i="5"/>
  <c r="L767" i="5"/>
  <c r="M767" i="5"/>
  <c r="M768" i="5"/>
  <c r="K769" i="5"/>
  <c r="L769" i="5"/>
  <c r="M769" i="5"/>
  <c r="M770" i="5"/>
  <c r="K771" i="5"/>
  <c r="L771" i="5"/>
  <c r="M771" i="5"/>
  <c r="M772" i="5"/>
  <c r="K773" i="5"/>
  <c r="L773" i="5"/>
  <c r="M773" i="5"/>
  <c r="M774" i="5"/>
  <c r="K775" i="5"/>
  <c r="L775" i="5"/>
  <c r="M775" i="5"/>
  <c r="M776" i="5"/>
  <c r="K777" i="5"/>
  <c r="L777" i="5"/>
  <c r="M777" i="5"/>
  <c r="M778" i="5"/>
  <c r="K779" i="5"/>
  <c r="L779" i="5"/>
  <c r="M779" i="5"/>
  <c r="M780" i="5"/>
  <c r="K781" i="5"/>
  <c r="L781" i="5"/>
  <c r="M781" i="5"/>
  <c r="M782" i="5"/>
  <c r="K783" i="5"/>
  <c r="L783" i="5"/>
  <c r="M783" i="5"/>
  <c r="M784" i="5"/>
  <c r="K785" i="5"/>
  <c r="L785" i="5"/>
  <c r="M785" i="5"/>
  <c r="M786" i="5"/>
  <c r="M400" i="5"/>
  <c r="S740" i="5"/>
  <c r="S742" i="5"/>
  <c r="S744" i="5"/>
  <c r="S746" i="5"/>
  <c r="S748" i="5"/>
  <c r="S750" i="5"/>
  <c r="S752" i="5"/>
  <c r="S754" i="5"/>
  <c r="S756" i="5"/>
  <c r="S758" i="5"/>
  <c r="S760" i="5"/>
  <c r="S762" i="5"/>
  <c r="S764" i="5"/>
  <c r="S766" i="5"/>
  <c r="S768" i="5"/>
  <c r="S770" i="5"/>
  <c r="S772" i="5"/>
  <c r="S774" i="5"/>
  <c r="S776" i="5"/>
  <c r="S778" i="5"/>
  <c r="S780" i="5"/>
  <c r="S782" i="5"/>
  <c r="S784" i="5"/>
  <c r="S786" i="5"/>
  <c r="S788" i="5"/>
  <c r="S790" i="5"/>
  <c r="S704" i="5"/>
  <c r="S706" i="5"/>
  <c r="S708" i="5"/>
  <c r="S710" i="5"/>
  <c r="S712" i="5"/>
  <c r="S714" i="5"/>
  <c r="S716" i="5"/>
  <c r="S718" i="5"/>
  <c r="S720" i="5"/>
  <c r="S722" i="5"/>
  <c r="S724" i="5"/>
  <c r="S726" i="5"/>
  <c r="S728" i="5"/>
  <c r="S730" i="5"/>
  <c r="S732" i="5"/>
  <c r="S734" i="5"/>
  <c r="S736" i="5"/>
  <c r="S738" i="5"/>
  <c r="S630" i="5"/>
  <c r="S632" i="5"/>
  <c r="S634" i="5"/>
  <c r="S636" i="5"/>
  <c r="S638" i="5"/>
  <c r="S640" i="5"/>
  <c r="S642" i="5"/>
  <c r="S644" i="5"/>
  <c r="S646" i="5"/>
  <c r="S648" i="5"/>
  <c r="S650" i="5"/>
  <c r="S652" i="5"/>
  <c r="S654" i="5"/>
  <c r="S656" i="5"/>
  <c r="S658" i="5"/>
  <c r="S660" i="5"/>
  <c r="S662" i="5"/>
  <c r="S664" i="5"/>
  <c r="S666" i="5"/>
  <c r="S668" i="5"/>
  <c r="S670" i="5"/>
  <c r="S672" i="5"/>
  <c r="S674" i="5"/>
  <c r="S676" i="5"/>
  <c r="S678" i="5"/>
  <c r="S680" i="5"/>
  <c r="S682" i="5"/>
  <c r="S684" i="5"/>
  <c r="S686" i="5"/>
  <c r="S688" i="5"/>
  <c r="S690" i="5"/>
  <c r="S692" i="5"/>
  <c r="S694" i="5"/>
  <c r="S696" i="5"/>
  <c r="S698" i="5"/>
  <c r="S700" i="5"/>
  <c r="S702" i="5"/>
  <c r="S406" i="5"/>
  <c r="S408" i="5"/>
  <c r="S410" i="5"/>
  <c r="S412" i="5"/>
  <c r="S414" i="5"/>
  <c r="S416" i="5"/>
  <c r="S418" i="5"/>
  <c r="S420" i="5"/>
  <c r="S422" i="5"/>
  <c r="S424" i="5"/>
  <c r="S426" i="5"/>
  <c r="S428" i="5"/>
  <c r="S430" i="5"/>
  <c r="S432" i="5"/>
  <c r="S434" i="5"/>
  <c r="S436" i="5"/>
  <c r="S438" i="5"/>
  <c r="S440" i="5"/>
  <c r="S442" i="5"/>
  <c r="S444" i="5"/>
  <c r="S446" i="5"/>
  <c r="S448" i="5"/>
  <c r="S450" i="5"/>
  <c r="S452" i="5"/>
  <c r="S454" i="5"/>
  <c r="S456" i="5"/>
  <c r="S458" i="5"/>
  <c r="S460" i="5"/>
  <c r="S462" i="5"/>
  <c r="S464" i="5"/>
  <c r="S466" i="5"/>
  <c r="S468" i="5"/>
  <c r="S470" i="5"/>
  <c r="S472" i="5"/>
  <c r="S474" i="5"/>
  <c r="S476" i="5"/>
  <c r="S478" i="5"/>
  <c r="S480" i="5"/>
  <c r="S482" i="5"/>
  <c r="S484" i="5"/>
  <c r="S486" i="5"/>
  <c r="S488" i="5"/>
  <c r="S490" i="5"/>
  <c r="S492" i="5"/>
  <c r="S494" i="5"/>
  <c r="S496" i="5"/>
  <c r="S498" i="5"/>
  <c r="S500" i="5"/>
  <c r="S502" i="5"/>
  <c r="S504" i="5"/>
  <c r="S506" i="5"/>
  <c r="S508" i="5"/>
  <c r="S510" i="5"/>
  <c r="S512" i="5"/>
  <c r="S514" i="5"/>
  <c r="S516" i="5"/>
  <c r="S518" i="5"/>
  <c r="S520" i="5"/>
  <c r="S522" i="5"/>
  <c r="S524" i="5"/>
  <c r="S526" i="5"/>
  <c r="S528" i="5"/>
  <c r="S530" i="5"/>
  <c r="S532" i="5"/>
  <c r="S534" i="5"/>
  <c r="S536" i="5"/>
  <c r="S538" i="5"/>
  <c r="S540" i="5"/>
  <c r="S542" i="5"/>
  <c r="S544" i="5"/>
  <c r="S546" i="5"/>
  <c r="S548" i="5"/>
  <c r="S550" i="5"/>
  <c r="S552" i="5"/>
  <c r="S554" i="5"/>
  <c r="S556" i="5"/>
  <c r="S558" i="5"/>
  <c r="S560" i="5"/>
  <c r="S562" i="5"/>
  <c r="S564" i="5"/>
  <c r="S566" i="5"/>
  <c r="S568" i="5"/>
  <c r="S570" i="5"/>
  <c r="S572" i="5"/>
  <c r="S574" i="5"/>
  <c r="S576" i="5"/>
  <c r="S578" i="5"/>
  <c r="S580" i="5"/>
  <c r="S582" i="5"/>
  <c r="S584" i="5"/>
  <c r="S586" i="5"/>
  <c r="S588" i="5"/>
  <c r="S590" i="5"/>
  <c r="S592" i="5"/>
  <c r="S594" i="5"/>
  <c r="S596" i="5"/>
  <c r="S598" i="5"/>
  <c r="S600" i="5"/>
  <c r="S602" i="5"/>
  <c r="S604" i="5"/>
  <c r="S606" i="5"/>
  <c r="S608" i="5"/>
  <c r="S610" i="5"/>
  <c r="S612" i="5"/>
  <c r="S614" i="5"/>
  <c r="S616" i="5"/>
  <c r="S618" i="5"/>
  <c r="S620" i="5"/>
  <c r="S622" i="5"/>
  <c r="S624" i="5"/>
  <c r="S626" i="5"/>
  <c r="S628" i="5"/>
  <c r="Q406" i="5"/>
  <c r="S404" i="5"/>
  <c r="S402" i="5"/>
  <c r="L399" i="5"/>
  <c r="M399" i="5"/>
  <c r="K399" i="5"/>
  <c r="V16" i="5"/>
  <c r="V18" i="5"/>
  <c r="V20" i="5"/>
  <c r="V22" i="5"/>
  <c r="V24" i="5"/>
  <c r="V26" i="5"/>
  <c r="V28" i="5"/>
  <c r="V30" i="5"/>
  <c r="V32" i="5"/>
  <c r="V34" i="5"/>
  <c r="V36" i="5"/>
  <c r="V38" i="5"/>
  <c r="V40" i="5"/>
  <c r="V42" i="5"/>
  <c r="V44" i="5"/>
  <c r="V46" i="5"/>
  <c r="V48" i="5"/>
  <c r="V50" i="5"/>
  <c r="V52" i="5"/>
  <c r="V54" i="5"/>
  <c r="V56" i="5"/>
  <c r="V58" i="5"/>
  <c r="V60" i="5"/>
  <c r="V62" i="5"/>
  <c r="V64" i="5"/>
  <c r="V66" i="5"/>
  <c r="V68" i="5"/>
  <c r="V70" i="5"/>
  <c r="V72" i="5"/>
  <c r="V74" i="5"/>
  <c r="V76" i="5"/>
  <c r="V78" i="5"/>
  <c r="V80" i="5"/>
  <c r="V82" i="5"/>
  <c r="V84" i="5"/>
  <c r="V86" i="5"/>
  <c r="V88" i="5"/>
  <c r="V90" i="5"/>
  <c r="V92" i="5"/>
  <c r="V94" i="5"/>
  <c r="V96" i="5"/>
  <c r="V98" i="5"/>
  <c r="V100" i="5"/>
  <c r="V102" i="5"/>
  <c r="V104" i="5"/>
  <c r="V106" i="5"/>
  <c r="V108" i="5"/>
  <c r="V110" i="5"/>
  <c r="V112" i="5"/>
  <c r="V114" i="5"/>
  <c r="V116" i="5"/>
  <c r="V118" i="5"/>
  <c r="V120" i="5"/>
  <c r="V122" i="5"/>
  <c r="V124" i="5"/>
  <c r="V126" i="5"/>
  <c r="V128" i="5"/>
  <c r="V130" i="5"/>
  <c r="V132" i="5"/>
  <c r="V134" i="5"/>
  <c r="V136" i="5"/>
  <c r="V138" i="5"/>
  <c r="V140" i="5"/>
  <c r="V142" i="5"/>
  <c r="V144" i="5"/>
  <c r="V146" i="5"/>
  <c r="V148" i="5"/>
  <c r="V150" i="5"/>
  <c r="V152" i="5"/>
  <c r="V154" i="5"/>
  <c r="V156" i="5"/>
  <c r="V158" i="5"/>
  <c r="V160" i="5"/>
  <c r="V162" i="5"/>
  <c r="V164" i="5"/>
  <c r="V166" i="5"/>
  <c r="V168" i="5"/>
  <c r="V170" i="5"/>
  <c r="V172" i="5"/>
  <c r="V174" i="5"/>
  <c r="V176" i="5"/>
  <c r="V178" i="5"/>
  <c r="V180" i="5"/>
  <c r="V182" i="5"/>
  <c r="V184" i="5"/>
  <c r="V186" i="5"/>
  <c r="V188" i="5"/>
  <c r="V190" i="5"/>
  <c r="V192" i="5"/>
  <c r="V194" i="5"/>
  <c r="V196" i="5"/>
  <c r="V198" i="5"/>
  <c r="V200" i="5"/>
  <c r="V202" i="5"/>
  <c r="V204" i="5"/>
  <c r="V206" i="5"/>
  <c r="V208" i="5"/>
  <c r="V210" i="5"/>
  <c r="V212" i="5"/>
  <c r="V214" i="5"/>
  <c r="V216" i="5"/>
  <c r="V218" i="5"/>
  <c r="V220" i="5"/>
  <c r="V222" i="5"/>
  <c r="V224" i="5"/>
  <c r="V226" i="5"/>
  <c r="V228" i="5"/>
  <c r="V230" i="5"/>
  <c r="V232" i="5"/>
  <c r="V234" i="5"/>
  <c r="V236" i="5"/>
  <c r="V238" i="5"/>
  <c r="V240" i="5"/>
  <c r="V242" i="5"/>
  <c r="V244" i="5"/>
  <c r="V246" i="5"/>
  <c r="V248" i="5"/>
  <c r="V250" i="5"/>
  <c r="V252" i="5"/>
  <c r="V254" i="5"/>
  <c r="V256" i="5"/>
  <c r="V258" i="5"/>
  <c r="V260" i="5"/>
  <c r="V262" i="5"/>
  <c r="V264" i="5"/>
  <c r="V266" i="5"/>
  <c r="V268" i="5"/>
  <c r="V270" i="5"/>
  <c r="V272" i="5"/>
  <c r="V274" i="5"/>
  <c r="V276" i="5"/>
  <c r="V278" i="5"/>
  <c r="V280" i="5"/>
  <c r="V282" i="5"/>
  <c r="V284" i="5"/>
  <c r="V286" i="5"/>
  <c r="V288" i="5"/>
  <c r="V290" i="5"/>
  <c r="V292" i="5"/>
  <c r="V294" i="5"/>
  <c r="V296" i="5"/>
  <c r="V298" i="5"/>
  <c r="V300" i="5"/>
  <c r="V302" i="5"/>
  <c r="V304" i="5"/>
  <c r="V306" i="5"/>
  <c r="V308" i="5"/>
  <c r="V310" i="5"/>
  <c r="V312" i="5"/>
  <c r="V314" i="5"/>
  <c r="V316" i="5"/>
  <c r="V318" i="5"/>
  <c r="V320" i="5"/>
  <c r="V322" i="5"/>
  <c r="V324" i="5"/>
  <c r="V326" i="5"/>
  <c r="V328" i="5"/>
  <c r="V330" i="5"/>
  <c r="V332" i="5"/>
  <c r="V334" i="5"/>
  <c r="V336" i="5"/>
  <c r="V338" i="5"/>
  <c r="V340" i="5"/>
  <c r="V342" i="5"/>
  <c r="V344" i="5"/>
  <c r="V346" i="5"/>
  <c r="V348" i="5"/>
  <c r="V350" i="5"/>
  <c r="V352" i="5"/>
  <c r="V354" i="5"/>
  <c r="V356" i="5"/>
  <c r="V358" i="5"/>
  <c r="V360" i="5"/>
  <c r="V362" i="5"/>
  <c r="V364" i="5"/>
  <c r="V366" i="5"/>
  <c r="V368" i="5"/>
  <c r="V370" i="5"/>
  <c r="V372" i="5"/>
  <c r="V374" i="5"/>
  <c r="V376" i="5"/>
  <c r="V378" i="5"/>
  <c r="V380" i="5"/>
  <c r="V382" i="5"/>
  <c r="V384" i="5"/>
  <c r="V386" i="5"/>
  <c r="V388" i="5"/>
  <c r="V390" i="5"/>
  <c r="V392" i="5"/>
  <c r="V394" i="5"/>
  <c r="V396" i="5"/>
  <c r="V400" i="5"/>
  <c r="V14" i="5"/>
  <c r="V12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4" i="5"/>
  <c r="BQ25" i="1"/>
  <c r="BR25" i="1"/>
  <c r="BS25" i="1"/>
  <c r="BS55" i="1" s="1"/>
  <c r="BZ55" i="1" s="1"/>
  <c r="BT25" i="1"/>
  <c r="BT55" i="1" s="1"/>
  <c r="BQ26" i="1"/>
  <c r="BR26" i="1"/>
  <c r="BS26" i="1"/>
  <c r="BT26" i="1"/>
  <c r="BQ27" i="1"/>
  <c r="BR27" i="1"/>
  <c r="BS27" i="1"/>
  <c r="BT27" i="1"/>
  <c r="BT57" i="1" s="1"/>
  <c r="BQ28" i="1"/>
  <c r="BR28" i="1"/>
  <c r="BS28" i="1"/>
  <c r="BS58" i="1" s="1"/>
  <c r="BZ58" i="1" s="1"/>
  <c r="BT28" i="1"/>
  <c r="BT58" i="1" s="1"/>
  <c r="BQ29" i="1"/>
  <c r="BR29" i="1"/>
  <c r="BS29" i="1"/>
  <c r="BS59" i="1" s="1"/>
  <c r="BZ59" i="1" s="1"/>
  <c r="BT29" i="1"/>
  <c r="BT59" i="1" s="1"/>
  <c r="BR24" i="1"/>
  <c r="BS24" i="1"/>
  <c r="BT24" i="1"/>
  <c r="BQ24" i="1"/>
  <c r="BX46" i="1"/>
  <c r="BY46" i="1"/>
  <c r="BZ46" i="1"/>
  <c r="CA46" i="1"/>
  <c r="BX47" i="1"/>
  <c r="BY47" i="1"/>
  <c r="BZ47" i="1"/>
  <c r="CA47" i="1"/>
  <c r="BX48" i="1"/>
  <c r="BY48" i="1"/>
  <c r="BZ48" i="1"/>
  <c r="CA48" i="1"/>
  <c r="BX49" i="1"/>
  <c r="BY49" i="1"/>
  <c r="BZ49" i="1"/>
  <c r="CA49" i="1"/>
  <c r="BX50" i="1"/>
  <c r="BY50" i="1"/>
  <c r="BZ50" i="1"/>
  <c r="CA50" i="1"/>
  <c r="BY45" i="1"/>
  <c r="BZ45" i="1"/>
  <c r="CA45" i="1"/>
  <c r="BX45" i="1"/>
  <c r="BX37" i="1"/>
  <c r="BY37" i="1"/>
  <c r="BZ37" i="1"/>
  <c r="CA37" i="1"/>
  <c r="BX38" i="1"/>
  <c r="BY38" i="1"/>
  <c r="BZ38" i="1"/>
  <c r="CA38" i="1"/>
  <c r="BX39" i="1"/>
  <c r="BY39" i="1"/>
  <c r="BZ39" i="1"/>
  <c r="CA39" i="1"/>
  <c r="BX40" i="1"/>
  <c r="BY40" i="1"/>
  <c r="BZ40" i="1"/>
  <c r="CA40" i="1"/>
  <c r="BX41" i="1"/>
  <c r="BY41" i="1"/>
  <c r="BZ41" i="1"/>
  <c r="CA41" i="1"/>
  <c r="BY36" i="1"/>
  <c r="BZ36" i="1"/>
  <c r="CA36" i="1"/>
  <c r="BX36" i="1"/>
  <c r="BW36" i="1"/>
  <c r="BW37" i="1"/>
  <c r="BW38" i="1"/>
  <c r="BW39" i="1"/>
  <c r="BW40" i="1"/>
  <c r="BW41" i="1"/>
  <c r="BW42" i="1"/>
  <c r="BX42" i="1"/>
  <c r="BY42" i="1"/>
  <c r="BZ42" i="1"/>
  <c r="CA42" i="1"/>
  <c r="BW43" i="1"/>
  <c r="BX43" i="1"/>
  <c r="BY43" i="1"/>
  <c r="BZ43" i="1"/>
  <c r="CA43" i="1"/>
  <c r="BW44" i="1"/>
  <c r="BX44" i="1"/>
  <c r="BY44" i="1"/>
  <c r="BZ44" i="1"/>
  <c r="CA44" i="1"/>
  <c r="BW45" i="1"/>
  <c r="BW46" i="1"/>
  <c r="BW47" i="1"/>
  <c r="BW48" i="1"/>
  <c r="BW49" i="1"/>
  <c r="BW50" i="1"/>
  <c r="BW51" i="1"/>
  <c r="BX51" i="1"/>
  <c r="BY51" i="1"/>
  <c r="BZ51" i="1"/>
  <c r="CA51" i="1"/>
  <c r="BW52" i="1"/>
  <c r="BX52" i="1"/>
  <c r="BY52" i="1"/>
  <c r="BZ52" i="1"/>
  <c r="CA52" i="1"/>
  <c r="BW53" i="1"/>
  <c r="BX53" i="1"/>
  <c r="BY53" i="1"/>
  <c r="BZ53" i="1"/>
  <c r="CA53" i="1"/>
  <c r="BW54" i="1"/>
  <c r="BW55" i="1"/>
  <c r="BW56" i="1"/>
  <c r="BW57" i="1"/>
  <c r="BW58" i="1"/>
  <c r="BW59" i="1"/>
  <c r="BX35" i="1"/>
  <c r="BY35" i="1"/>
  <c r="BZ35" i="1"/>
  <c r="CA35" i="1"/>
  <c r="BW35" i="1"/>
  <c r="BQ46" i="1"/>
  <c r="BR46" i="1"/>
  <c r="BS46" i="1"/>
  <c r="BT46" i="1"/>
  <c r="BQ47" i="1"/>
  <c r="BR47" i="1"/>
  <c r="BS47" i="1"/>
  <c r="BT47" i="1"/>
  <c r="BQ48" i="1"/>
  <c r="BR48" i="1"/>
  <c r="BS48" i="1"/>
  <c r="BT48" i="1"/>
  <c r="BQ49" i="1"/>
  <c r="BR49" i="1"/>
  <c r="BS49" i="1"/>
  <c r="BT49" i="1"/>
  <c r="BQ50" i="1"/>
  <c r="BR50" i="1"/>
  <c r="BS50" i="1"/>
  <c r="BT50" i="1"/>
  <c r="BR45" i="1"/>
  <c r="BS45" i="1"/>
  <c r="BT45" i="1"/>
  <c r="BQ45" i="1"/>
  <c r="BQ37" i="1"/>
  <c r="BR37" i="1"/>
  <c r="BS37" i="1"/>
  <c r="BT37" i="1"/>
  <c r="BQ38" i="1"/>
  <c r="BR38" i="1"/>
  <c r="BS38" i="1"/>
  <c r="BT38" i="1"/>
  <c r="BQ39" i="1"/>
  <c r="BR39" i="1"/>
  <c r="BS39" i="1"/>
  <c r="BT39" i="1"/>
  <c r="BQ40" i="1"/>
  <c r="BR40" i="1"/>
  <c r="BS40" i="1"/>
  <c r="BT40" i="1"/>
  <c r="BQ41" i="1"/>
  <c r="BR41" i="1"/>
  <c r="BS41" i="1"/>
  <c r="BT41" i="1"/>
  <c r="BR36" i="1"/>
  <c r="BS36" i="1"/>
  <c r="BT36" i="1"/>
  <c r="BQ16" i="1"/>
  <c r="BR16" i="1"/>
  <c r="BS16" i="1"/>
  <c r="BT16" i="1"/>
  <c r="BQ17" i="1"/>
  <c r="BR17" i="1"/>
  <c r="BS17" i="1"/>
  <c r="BT17" i="1"/>
  <c r="BQ18" i="1"/>
  <c r="BR18" i="1"/>
  <c r="BS18" i="1"/>
  <c r="BT18" i="1"/>
  <c r="BQ19" i="1"/>
  <c r="BR19" i="1"/>
  <c r="BS19" i="1"/>
  <c r="BT19" i="1"/>
  <c r="BQ20" i="1"/>
  <c r="BR20" i="1"/>
  <c r="BS20" i="1"/>
  <c r="BT20" i="1"/>
  <c r="BR15" i="1"/>
  <c r="BS15" i="1"/>
  <c r="BT15" i="1"/>
  <c r="BQ15" i="1"/>
  <c r="BQ7" i="1"/>
  <c r="BR7" i="1"/>
  <c r="BS7" i="1"/>
  <c r="BT7" i="1"/>
  <c r="BQ8" i="1"/>
  <c r="BR8" i="1"/>
  <c r="BS8" i="1"/>
  <c r="BT8" i="1"/>
  <c r="BQ9" i="1"/>
  <c r="BR9" i="1"/>
  <c r="BS9" i="1"/>
  <c r="BT9" i="1"/>
  <c r="BQ10" i="1"/>
  <c r="BR10" i="1"/>
  <c r="BS10" i="1"/>
  <c r="BT10" i="1"/>
  <c r="BQ11" i="1"/>
  <c r="BR11" i="1"/>
  <c r="BS11" i="1"/>
  <c r="BT11" i="1"/>
  <c r="BR6" i="1"/>
  <c r="BS6" i="1"/>
  <c r="BT6" i="1"/>
  <c r="BQ6" i="1"/>
  <c r="BQ36" i="1" s="1"/>
  <c r="BP34" i="1"/>
  <c r="BQ34" i="1"/>
  <c r="BR34" i="1"/>
  <c r="BS34" i="1"/>
  <c r="BT34" i="1"/>
  <c r="BP35" i="1"/>
  <c r="BQ35" i="1"/>
  <c r="BR35" i="1"/>
  <c r="BS35" i="1"/>
  <c r="BT35" i="1"/>
  <c r="BP36" i="1"/>
  <c r="BP37" i="1"/>
  <c r="BP38" i="1"/>
  <c r="BP39" i="1"/>
  <c r="BP40" i="1"/>
  <c r="BP41" i="1"/>
  <c r="BP42" i="1"/>
  <c r="BQ42" i="1"/>
  <c r="BR42" i="1"/>
  <c r="BS42" i="1"/>
  <c r="BT42" i="1"/>
  <c r="BP43" i="1"/>
  <c r="BQ43" i="1"/>
  <c r="BR43" i="1"/>
  <c r="BS43" i="1"/>
  <c r="BT43" i="1"/>
  <c r="BP44" i="1"/>
  <c r="BQ44" i="1"/>
  <c r="BR44" i="1"/>
  <c r="BS44" i="1"/>
  <c r="BT44" i="1"/>
  <c r="BP45" i="1"/>
  <c r="BP46" i="1"/>
  <c r="BP47" i="1"/>
  <c r="BP48" i="1"/>
  <c r="BP49" i="1"/>
  <c r="BP50" i="1"/>
  <c r="BP51" i="1"/>
  <c r="BQ51" i="1"/>
  <c r="BR51" i="1"/>
  <c r="BS51" i="1"/>
  <c r="BT51" i="1"/>
  <c r="BP52" i="1"/>
  <c r="BQ52" i="1"/>
  <c r="BR52" i="1"/>
  <c r="BS52" i="1"/>
  <c r="BT52" i="1"/>
  <c r="BP53" i="1"/>
  <c r="BQ53" i="1"/>
  <c r="BR53" i="1"/>
  <c r="BS53" i="1"/>
  <c r="BT53" i="1"/>
  <c r="BP54" i="1"/>
  <c r="BQ54" i="1"/>
  <c r="BR54" i="1"/>
  <c r="BS54" i="1"/>
  <c r="BT54" i="1"/>
  <c r="CA54" i="1" s="1"/>
  <c r="BP55" i="1"/>
  <c r="BQ55" i="1"/>
  <c r="BR55" i="1"/>
  <c r="BP56" i="1"/>
  <c r="BQ56" i="1"/>
  <c r="BR56" i="1"/>
  <c r="BS56" i="1"/>
  <c r="BZ56" i="1" s="1"/>
  <c r="BT56" i="1"/>
  <c r="BP57" i="1"/>
  <c r="BQ57" i="1"/>
  <c r="BR57" i="1"/>
  <c r="BS57" i="1"/>
  <c r="BZ57" i="1" s="1"/>
  <c r="BP58" i="1"/>
  <c r="BQ58" i="1"/>
  <c r="BR58" i="1"/>
  <c r="BP59" i="1"/>
  <c r="BQ59" i="1"/>
  <c r="BR59" i="1"/>
  <c r="BQ33" i="1"/>
  <c r="BR33" i="1"/>
  <c r="BS33" i="1"/>
  <c r="BT33" i="1"/>
  <c r="BP33" i="1"/>
  <c r="AN84" i="1"/>
  <c r="AN85" i="1"/>
  <c r="AN47" i="1"/>
  <c r="AN48" i="1"/>
  <c r="AN45" i="1"/>
  <c r="AN46" i="1"/>
  <c r="AN119" i="1"/>
  <c r="AN120" i="1"/>
  <c r="AN82" i="1"/>
  <c r="AN83" i="1"/>
  <c r="CB5" i="1"/>
  <c r="BZ5" i="1"/>
  <c r="CA5" i="1"/>
  <c r="CB6" i="1"/>
  <c r="BZ6" i="1"/>
  <c r="CA6" i="1"/>
  <c r="CB7" i="1"/>
  <c r="BZ7" i="1"/>
  <c r="CA7" i="1"/>
  <c r="CB8" i="1"/>
  <c r="BZ8" i="1"/>
  <c r="CA8" i="1"/>
  <c r="CB9" i="1"/>
  <c r="BZ9" i="1"/>
  <c r="CA9" i="1"/>
  <c r="CB10" i="1"/>
  <c r="BZ10" i="1"/>
  <c r="CA10" i="1"/>
  <c r="AK118" i="1"/>
  <c r="AK119" i="1"/>
  <c r="AK120" i="1"/>
  <c r="AK121" i="1"/>
  <c r="AK122" i="1"/>
  <c r="AK117" i="1"/>
  <c r="AL117" i="1"/>
  <c r="AJ118" i="1"/>
  <c r="AJ119" i="1"/>
  <c r="AJ120" i="1"/>
  <c r="AJ121" i="1"/>
  <c r="AJ122" i="1"/>
  <c r="AR7" i="1"/>
  <c r="AB7" i="1"/>
  <c r="J7" i="1"/>
  <c r="AN118" i="1"/>
  <c r="AM117" i="1"/>
  <c r="AK81" i="1"/>
  <c r="AL81" i="1"/>
  <c r="AM81" i="1"/>
  <c r="AN81" i="1"/>
  <c r="AK82" i="1"/>
  <c r="AL82" i="1"/>
  <c r="AM82" i="1"/>
  <c r="AK83" i="1"/>
  <c r="AL83" i="1"/>
  <c r="AM83" i="1"/>
  <c r="AK84" i="1"/>
  <c r="AL84" i="1"/>
  <c r="AM84" i="1"/>
  <c r="AK85" i="1"/>
  <c r="AL85" i="1"/>
  <c r="J8" i="1"/>
  <c r="J9" i="1"/>
  <c r="J10" i="1"/>
  <c r="J11" i="1"/>
  <c r="AB8" i="1"/>
  <c r="AL118" i="1" s="1"/>
  <c r="AB9" i="1"/>
  <c r="AL119" i="1" s="1"/>
  <c r="AB10" i="1"/>
  <c r="AB11" i="1"/>
  <c r="AR8" i="1"/>
  <c r="AM118" i="1" s="1"/>
  <c r="AR9" i="1"/>
  <c r="AM119" i="1" s="1"/>
  <c r="AR10" i="1"/>
  <c r="AM120" i="1" s="1"/>
  <c r="AR11" i="1"/>
  <c r="AM121" i="1" s="1"/>
  <c r="BD7" i="1"/>
  <c r="AN117" i="1" s="1"/>
  <c r="BD8" i="1"/>
  <c r="BD9" i="1"/>
  <c r="BD10" i="1"/>
  <c r="BD11" i="1"/>
  <c r="AN121" i="1" s="1"/>
  <c r="BD12" i="1"/>
  <c r="AN122" i="1" s="1"/>
  <c r="AN80" i="1"/>
  <c r="AM80" i="1"/>
  <c r="AL80" i="1"/>
  <c r="AK80" i="1"/>
  <c r="AK44" i="1"/>
  <c r="AL44" i="1"/>
  <c r="AM44" i="1"/>
  <c r="AN44" i="1"/>
  <c r="AK45" i="1"/>
  <c r="AL45" i="1"/>
  <c r="AM45" i="1"/>
  <c r="AK46" i="1"/>
  <c r="AL46" i="1"/>
  <c r="AM46" i="1"/>
  <c r="AK47" i="1"/>
  <c r="AL47" i="1"/>
  <c r="AM47" i="1"/>
  <c r="AK48" i="1"/>
  <c r="AL48" i="1"/>
  <c r="AN43" i="1"/>
  <c r="AM43" i="1"/>
  <c r="AL43" i="1"/>
  <c r="AK43" i="1"/>
  <c r="AN12" i="1"/>
  <c r="AM48" i="1" s="1"/>
  <c r="BC12" i="1"/>
  <c r="AW12" i="1"/>
  <c r="AU12" i="1" s="1"/>
  <c r="BC11" i="1"/>
  <c r="BB11" i="1"/>
  <c r="AW11" i="1"/>
  <c r="BC10" i="1"/>
  <c r="BB10" i="1"/>
  <c r="AW10" i="1"/>
  <c r="BC9" i="1"/>
  <c r="BB9" i="1"/>
  <c r="AW9" i="1"/>
  <c r="BC8" i="1"/>
  <c r="BB8" i="1"/>
  <c r="AW8" i="1"/>
  <c r="AU8" i="1" s="1"/>
  <c r="BC7" i="1"/>
  <c r="AW7" i="1"/>
  <c r="AU7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61" i="1"/>
  <c r="AO12" i="1"/>
  <c r="AQ12" i="1" s="1"/>
  <c r="AP12" i="1"/>
  <c r="AK12" i="1"/>
  <c r="AJ48" i="1" s="1"/>
  <c r="AJ85" i="1" s="1"/>
  <c r="AI12" i="1"/>
  <c r="AQ11" i="1"/>
  <c r="AP11" i="1"/>
  <c r="AK11" i="1"/>
  <c r="AJ47" i="1" s="1"/>
  <c r="AJ84" i="1" s="1"/>
  <c r="AQ10" i="1"/>
  <c r="AP10" i="1"/>
  <c r="AK10" i="1"/>
  <c r="AJ46" i="1" s="1"/>
  <c r="AJ83" i="1" s="1"/>
  <c r="AQ9" i="1"/>
  <c r="AP9" i="1"/>
  <c r="AK9" i="1"/>
  <c r="AJ45" i="1" s="1"/>
  <c r="AJ82" i="1" s="1"/>
  <c r="AQ8" i="1"/>
  <c r="AP8" i="1"/>
  <c r="AK8" i="1"/>
  <c r="AJ44" i="1" s="1"/>
  <c r="AJ81" i="1" s="1"/>
  <c r="AI8" i="1"/>
  <c r="AK7" i="1"/>
  <c r="AI7" i="1" s="1"/>
  <c r="I15" i="4"/>
  <c r="H15" i="4"/>
  <c r="A15" i="4"/>
  <c r="I14" i="4"/>
  <c r="H14" i="4"/>
  <c r="A14" i="4"/>
  <c r="I13" i="4"/>
  <c r="H13" i="4"/>
  <c r="A13" i="4"/>
  <c r="I12" i="4"/>
  <c r="H12" i="4"/>
  <c r="A12" i="4"/>
  <c r="I11" i="4"/>
  <c r="H11" i="4"/>
  <c r="A11" i="4"/>
  <c r="I10" i="4"/>
  <c r="H10" i="4"/>
  <c r="A10" i="4"/>
  <c r="I9" i="4"/>
  <c r="H9" i="4"/>
  <c r="A9" i="4"/>
  <c r="I8" i="4"/>
  <c r="H8" i="4"/>
  <c r="A8" i="4"/>
  <c r="I7" i="4"/>
  <c r="H7" i="4"/>
  <c r="A7" i="4"/>
  <c r="B3" i="4"/>
  <c r="J15" i="3"/>
  <c r="I15" i="3"/>
  <c r="H15" i="3"/>
  <c r="A15" i="3"/>
  <c r="J14" i="3"/>
  <c r="I14" i="3"/>
  <c r="H14" i="3"/>
  <c r="C14" i="3"/>
  <c r="A14" i="3"/>
  <c r="J13" i="3"/>
  <c r="I13" i="3"/>
  <c r="H13" i="3"/>
  <c r="A13" i="3"/>
  <c r="J12" i="3"/>
  <c r="I12" i="3"/>
  <c r="H12" i="3"/>
  <c r="C12" i="3"/>
  <c r="A12" i="3"/>
  <c r="J11" i="3"/>
  <c r="I11" i="3"/>
  <c r="H11" i="3"/>
  <c r="A11" i="3"/>
  <c r="J10" i="3"/>
  <c r="I10" i="3"/>
  <c r="H10" i="3"/>
  <c r="A10" i="3"/>
  <c r="C10" i="3" s="1"/>
  <c r="J9" i="3"/>
  <c r="I9" i="3"/>
  <c r="H9" i="3"/>
  <c r="A9" i="3"/>
  <c r="C9" i="3" s="1"/>
  <c r="J8" i="3"/>
  <c r="I8" i="3"/>
  <c r="H8" i="3"/>
  <c r="C8" i="3"/>
  <c r="A8" i="3"/>
  <c r="J7" i="3"/>
  <c r="I7" i="3"/>
  <c r="H7" i="3"/>
  <c r="A7" i="3"/>
  <c r="C7" i="3" s="1"/>
  <c r="B3" i="3"/>
  <c r="J17" i="2"/>
  <c r="I17" i="2"/>
  <c r="H17" i="2"/>
  <c r="A17" i="2"/>
  <c r="C17" i="2" s="1"/>
  <c r="J16" i="2"/>
  <c r="I16" i="2"/>
  <c r="H16" i="2"/>
  <c r="C16" i="2"/>
  <c r="A16" i="2"/>
  <c r="J15" i="2"/>
  <c r="I15" i="2"/>
  <c r="H15" i="2"/>
  <c r="A15" i="2"/>
  <c r="J14" i="2"/>
  <c r="I14" i="2"/>
  <c r="H14" i="2"/>
  <c r="A14" i="2"/>
  <c r="C14" i="2" s="1"/>
  <c r="J13" i="2"/>
  <c r="I13" i="2"/>
  <c r="H13" i="2"/>
  <c r="A13" i="2"/>
  <c r="J12" i="2"/>
  <c r="I12" i="2"/>
  <c r="H12" i="2"/>
  <c r="A12" i="2"/>
  <c r="C12" i="2" s="1"/>
  <c r="J11" i="2"/>
  <c r="I11" i="2"/>
  <c r="H11" i="2"/>
  <c r="A11" i="2"/>
  <c r="J10" i="2"/>
  <c r="I10" i="2"/>
  <c r="H10" i="2"/>
  <c r="A10" i="2"/>
  <c r="C10" i="2" s="1"/>
  <c r="J9" i="2"/>
  <c r="I9" i="2"/>
  <c r="H9" i="2"/>
  <c r="C9" i="2"/>
  <c r="A9" i="2"/>
  <c r="J8" i="2"/>
  <c r="I8" i="2"/>
  <c r="H8" i="2"/>
  <c r="A8" i="2"/>
  <c r="C8" i="2" s="1"/>
  <c r="J7" i="2"/>
  <c r="I7" i="2"/>
  <c r="H7" i="2"/>
  <c r="A7" i="2"/>
  <c r="C7" i="2" s="1"/>
  <c r="B3" i="2"/>
  <c r="R55" i="1"/>
  <c r="Q55" i="1"/>
  <c r="S45" i="1"/>
  <c r="R45" i="1"/>
  <c r="S44" i="1"/>
  <c r="R44" i="1"/>
  <c r="S43" i="1"/>
  <c r="R43" i="1"/>
  <c r="S42" i="1"/>
  <c r="R42" i="1"/>
  <c r="C42" i="1"/>
  <c r="B42" i="1"/>
  <c r="C41" i="1"/>
  <c r="B41" i="1"/>
  <c r="C40" i="1"/>
  <c r="B40" i="1"/>
  <c r="AB12" i="1"/>
  <c r="AA12" i="1"/>
  <c r="Z12" i="1"/>
  <c r="U12" i="1"/>
  <c r="S12" i="1" s="1"/>
  <c r="J12" i="1"/>
  <c r="I12" i="1"/>
  <c r="H12" i="1"/>
  <c r="C12" i="1"/>
  <c r="A12" i="1" s="1"/>
  <c r="AA11" i="1"/>
  <c r="Z11" i="1"/>
  <c r="U11" i="1"/>
  <c r="I11" i="1"/>
  <c r="H11" i="1"/>
  <c r="C11" i="1"/>
  <c r="AA10" i="1"/>
  <c r="Z10" i="1"/>
  <c r="U10" i="1"/>
  <c r="I10" i="1"/>
  <c r="H10" i="1"/>
  <c r="C10" i="1"/>
  <c r="AA9" i="1"/>
  <c r="Z9" i="1"/>
  <c r="U9" i="1"/>
  <c r="I9" i="1"/>
  <c r="H9" i="1"/>
  <c r="C9" i="1"/>
  <c r="AA8" i="1"/>
  <c r="Z8" i="1"/>
  <c r="U8" i="1"/>
  <c r="S8" i="1" s="1"/>
  <c r="I8" i="1"/>
  <c r="H8" i="1"/>
  <c r="C8" i="1"/>
  <c r="A8" i="1"/>
  <c r="AA7" i="1"/>
  <c r="Z7" i="1"/>
  <c r="U7" i="1"/>
  <c r="S7" i="1" s="1"/>
  <c r="I7" i="1"/>
  <c r="H7" i="1"/>
  <c r="C7" i="1"/>
  <c r="A7" i="1" s="1"/>
  <c r="B3" i="1"/>
  <c r="CY8" i="1" l="1"/>
  <c r="CW6" i="1"/>
  <c r="CV7" i="1"/>
  <c r="CV6" i="1"/>
  <c r="CX8" i="1"/>
  <c r="CY5" i="1"/>
  <c r="CV5" i="1"/>
  <c r="CW10" i="1"/>
  <c r="CX7" i="1"/>
  <c r="CV10" i="1"/>
  <c r="CY9" i="1"/>
  <c r="CW7" i="1"/>
  <c r="CV9" i="1"/>
  <c r="CY10" i="1"/>
  <c r="CX9" i="1"/>
  <c r="CW8" i="1"/>
  <c r="CY6" i="1"/>
  <c r="CX5" i="1"/>
  <c r="CV8" i="1"/>
  <c r="CX10" i="1"/>
  <c r="CW9" i="1"/>
  <c r="CY7" i="1"/>
  <c r="CX6" i="1"/>
  <c r="CA55" i="1"/>
  <c r="BZ54" i="1"/>
  <c r="BY59" i="1"/>
  <c r="BY58" i="1"/>
  <c r="BY57" i="1"/>
  <c r="BY56" i="1"/>
  <c r="BY55" i="1"/>
  <c r="BY54" i="1"/>
  <c r="BX59" i="1"/>
  <c r="BX58" i="1"/>
  <c r="BX57" i="1"/>
  <c r="BX56" i="1"/>
  <c r="BX55" i="1"/>
  <c r="BX54" i="1"/>
  <c r="CA59" i="1"/>
  <c r="CA58" i="1"/>
  <c r="CA57" i="1"/>
  <c r="CA56" i="1"/>
  <c r="AL120" i="1"/>
  <c r="AM85" i="1"/>
  <c r="AL121" i="1"/>
  <c r="AL122" i="1"/>
  <c r="AJ43" i="1"/>
  <c r="AJ80" i="1" s="1"/>
  <c r="AJ117" i="1" s="1"/>
  <c r="AP7" i="1"/>
  <c r="AQ7" i="1"/>
  <c r="AR12" i="1"/>
  <c r="AM122" i="1" s="1"/>
  <c r="BB12" i="1"/>
  <c r="BB7" i="1"/>
</calcChain>
</file>

<file path=xl/sharedStrings.xml><?xml version="1.0" encoding="utf-8"?>
<sst xmlns="http://schemas.openxmlformats.org/spreadsheetml/2006/main" count="3169" uniqueCount="1265">
  <si>
    <t>A</t>
  </si>
  <si>
    <t>0,3kg/s</t>
  </si>
  <si>
    <t>1kier</t>
  </si>
  <si>
    <t>mm2</t>
  </si>
  <si>
    <t>m2</t>
  </si>
  <si>
    <t>dbs</t>
  </si>
  <si>
    <t>pbs</t>
  </si>
  <si>
    <t>d</t>
  </si>
  <si>
    <t>dP</t>
  </si>
  <si>
    <t>zbieznosc</t>
  </si>
  <si>
    <t>kanal</t>
  </si>
  <si>
    <t>W</t>
  </si>
  <si>
    <t>H</t>
  </si>
  <si>
    <t>Inlet-static</t>
  </si>
  <si>
    <t>Inlet-total</t>
  </si>
  <si>
    <t>mm</t>
  </si>
  <si>
    <t>[Pa]</t>
  </si>
  <si>
    <t>ok</t>
  </si>
  <si>
    <t>kierownica</t>
  </si>
  <si>
    <t>2kierownice</t>
  </si>
  <si>
    <t>0,35kg/s</t>
  </si>
  <si>
    <t>Z-kier</t>
  </si>
  <si>
    <t>0,4 kg/s</t>
  </si>
  <si>
    <t>[mm]</t>
  </si>
  <si>
    <t>2kier</t>
  </si>
  <si>
    <t>3kier</t>
  </si>
  <si>
    <t>0 kierownic</t>
  </si>
  <si>
    <t>1 kierownica</t>
  </si>
  <si>
    <t>2 kierownice</t>
  </si>
  <si>
    <t>3 kierownice</t>
  </si>
  <si>
    <t>wysokość kanału</t>
  </si>
  <si>
    <t>ciśnienie statyczne na wlocie</t>
  </si>
  <si>
    <t>[bar]</t>
  </si>
  <si>
    <t>ciśnienie całkowite na wlocie</t>
  </si>
  <si>
    <t>ciśnienie dynamiczne na wlocie</t>
  </si>
  <si>
    <t>"u"</t>
  </si>
  <si>
    <t>"s"</t>
  </si>
  <si>
    <t>szerokość kanałów</t>
  </si>
  <si>
    <t>B</t>
  </si>
  <si>
    <t>C</t>
  </si>
  <si>
    <t>Kolumna1</t>
  </si>
  <si>
    <t>time</t>
  </si>
  <si>
    <t>mass-flow-rate</t>
  </si>
  <si>
    <t>if(flow_time &lt;=</t>
  </si>
  <si>
    <t>)</t>
  </si>
  <si>
    <t xml:space="preserve">F_PROFILE(f,th,i) = </t>
  </si>
  <si>
    <t>;</t>
  </si>
  <si>
    <t>else if(flow_time &lt;=</t>
  </si>
  <si>
    <t>0.000277799999999995</t>
  </si>
  <si>
    <t>0.000555600000000045</t>
  </si>
  <si>
    <t>0.00083340000000004</t>
  </si>
  <si>
    <t>0.00111120000000003</t>
  </si>
  <si>
    <t>0.00138900000000003</t>
  </si>
  <si>
    <t>0.00166680000000002</t>
  </si>
  <si>
    <t>0.00194460000000002</t>
  </si>
  <si>
    <t>0.00222230000000001</t>
  </si>
  <si>
    <t>0.00250010000000001</t>
  </si>
  <si>
    <t>0.0027779</t>
  </si>
  <si>
    <t>0.00305569999999999</t>
  </si>
  <si>
    <t>0.00333350000000004</t>
  </si>
  <si>
    <t>0.00361130000000004</t>
  </si>
  <si>
    <t>0.00388910000000003</t>
  </si>
  <si>
    <t>0.00416690000000003</t>
  </si>
  <si>
    <t>0.00444460000000002</t>
  </si>
  <si>
    <t>0.00472240000000002</t>
  </si>
  <si>
    <t>0.00500020000000001</t>
  </si>
  <si>
    <t>0.005278</t>
  </si>
  <si>
    <t>0.0055558</t>
  </si>
  <si>
    <t>0.00583359999999999</t>
  </si>
  <si>
    <t>0.00611140000000004</t>
  </si>
  <si>
    <t>0.00638920000000004</t>
  </si>
  <si>
    <t>0.00666690000000003</t>
  </si>
  <si>
    <t>0.00694470000000003</t>
  </si>
  <si>
    <t>0.00722250000000002</t>
  </si>
  <si>
    <t>0.00750030000000002</t>
  </si>
  <si>
    <t>0.00777810000000001</t>
  </si>
  <si>
    <t>0.0080559</t>
  </si>
  <si>
    <t>0.0083337</t>
  </si>
  <si>
    <t>0.00861149999999999</t>
  </si>
  <si>
    <t>0.00888920000000004</t>
  </si>
  <si>
    <t>0.00916700000000004</t>
  </si>
  <si>
    <t>0.00944480000000003</t>
  </si>
  <si>
    <t>0.00972260000000003</t>
  </si>
  <si>
    <t>0.0100004</t>
  </si>
  <si>
    <t>0.0102782</t>
  </si>
  <si>
    <t>0.010556</t>
  </si>
  <si>
    <t>0.0108338</t>
  </si>
  <si>
    <t>0.0111115</t>
  </si>
  <si>
    <t>0.0113893</t>
  </si>
  <si>
    <t>0.0116671</t>
  </si>
  <si>
    <t>0.0119449</t>
  </si>
  <si>
    <t>0.0122227</t>
  </si>
  <si>
    <t>0.0125005</t>
  </si>
  <si>
    <t>0.0127783</t>
  </si>
  <si>
    <t>0.0130561</t>
  </si>
  <si>
    <t>0.0133338</t>
  </si>
  <si>
    <t>0.0136116</t>
  </si>
  <si>
    <t>0.0138894</t>
  </si>
  <si>
    <t>0.0141672</t>
  </si>
  <si>
    <t>0.014445</t>
  </si>
  <si>
    <t>0.0147228</t>
  </si>
  <si>
    <t>0.0150006</t>
  </si>
  <si>
    <t>0.0152784</t>
  </si>
  <si>
    <t>0.0155561</t>
  </si>
  <si>
    <t>0.0158339</t>
  </si>
  <si>
    <t>0.0161117</t>
  </si>
  <si>
    <t>0.0163895</t>
  </si>
  <si>
    <t>0.0166673</t>
  </si>
  <si>
    <t>0.0169451</t>
  </si>
  <si>
    <t>0.0172229</t>
  </si>
  <si>
    <t>0.0175007</t>
  </si>
  <si>
    <t>0.0177784</t>
  </si>
  <si>
    <t>0.0180562</t>
  </si>
  <si>
    <t>0.018334</t>
  </si>
  <si>
    <t>0.0186118</t>
  </si>
  <si>
    <t>0.0188896</t>
  </si>
  <si>
    <t>0.0191674</t>
  </si>
  <si>
    <t>0.0194452</t>
  </si>
  <si>
    <t>0.019723</t>
  </si>
  <si>
    <t>0.0200007</t>
  </si>
  <si>
    <t>0.0202785</t>
  </si>
  <si>
    <t>0.0205563</t>
  </si>
  <si>
    <t>0.0208341</t>
  </si>
  <si>
    <t>0.0211119</t>
  </si>
  <si>
    <t>0.0213897</t>
  </si>
  <si>
    <t>0.0216675</t>
  </si>
  <si>
    <t>0.0219453</t>
  </si>
  <si>
    <t>0.022223</t>
  </si>
  <si>
    <t>0.0225008</t>
  </si>
  <si>
    <t>0.0227786</t>
  </si>
  <si>
    <t>0.0230564</t>
  </si>
  <si>
    <t>0.0233342</t>
  </si>
  <si>
    <t>0.023612</t>
  </si>
  <si>
    <t>0.0238898</t>
  </si>
  <si>
    <t>0.0241676</t>
  </si>
  <si>
    <t>0.0244453</t>
  </si>
  <si>
    <t>0.0247231</t>
  </si>
  <si>
    <t>0.0250009</t>
  </si>
  <si>
    <t>0.0252787</t>
  </si>
  <si>
    <t>0.0255565</t>
  </si>
  <si>
    <t>0.0258343</t>
  </si>
  <si>
    <t>0.0261121</t>
  </si>
  <si>
    <t>0.0263899</t>
  </si>
  <si>
    <t>0.0266676</t>
  </si>
  <si>
    <t>0.0269454</t>
  </si>
  <si>
    <t>0.0272232</t>
  </si>
  <si>
    <t>0.027501</t>
  </si>
  <si>
    <t>0.0277788</t>
  </si>
  <si>
    <t>0.0280566</t>
  </si>
  <si>
    <t>0.0283344</t>
  </si>
  <si>
    <t>0.0286122</t>
  </si>
  <si>
    <t>0.0288899</t>
  </si>
  <si>
    <t>0.0291677</t>
  </si>
  <si>
    <t>0.0294455</t>
  </si>
  <si>
    <t>0.0297233</t>
  </si>
  <si>
    <t>0.0300011</t>
  </si>
  <si>
    <t>0.0302789</t>
  </si>
  <si>
    <t>0.0305567</t>
  </si>
  <si>
    <t>0.0308345</t>
  </si>
  <si>
    <t>0.0311122</t>
  </si>
  <si>
    <t>0.03139</t>
  </si>
  <si>
    <t>0.0316678</t>
  </si>
  <si>
    <t>0.0319456</t>
  </si>
  <si>
    <t>0.0322234</t>
  </si>
  <si>
    <t>0.0325012</t>
  </si>
  <si>
    <t>0.032779</t>
  </si>
  <si>
    <t>0.0330567</t>
  </si>
  <si>
    <t>0.0333345</t>
  </si>
  <si>
    <t>0.0336123</t>
  </si>
  <si>
    <t>0.0338901</t>
  </si>
  <si>
    <t>0.0341679</t>
  </si>
  <si>
    <t>0.0344457</t>
  </si>
  <si>
    <t>0.0347235</t>
  </si>
  <si>
    <t>0.0350013</t>
  </si>
  <si>
    <t>0.035279</t>
  </si>
  <si>
    <t>0.0355568</t>
  </si>
  <si>
    <t>0.0358346</t>
  </si>
  <si>
    <t>0.0361124</t>
  </si>
  <si>
    <t>0.0363902</t>
  </si>
  <si>
    <t>0.036668</t>
  </si>
  <si>
    <t>0.0369458</t>
  </si>
  <si>
    <t>0.0372236</t>
  </si>
  <si>
    <t>0.0375013</t>
  </si>
  <si>
    <t>0.0377791</t>
  </si>
  <si>
    <t>0.0380569</t>
  </si>
  <si>
    <t>0.0383347</t>
  </si>
  <si>
    <t>0.0386125</t>
  </si>
  <si>
    <t>0.0388903</t>
  </si>
  <si>
    <t>0.0391681</t>
  </si>
  <si>
    <t>0.0394459</t>
  </si>
  <si>
    <t>0.0397236</t>
  </si>
  <si>
    <t>0.0400014</t>
  </si>
  <si>
    <t>0.0402792</t>
  </si>
  <si>
    <t>0.040557</t>
  </si>
  <si>
    <t>0.0408348</t>
  </si>
  <si>
    <t>0.0411126</t>
  </si>
  <si>
    <t>0.0413904</t>
  </si>
  <si>
    <t>0.0416682</t>
  </si>
  <si>
    <t>0.0419459</t>
  </si>
  <si>
    <t>0.0422237</t>
  </si>
  <si>
    <t>0.0425015</t>
  </si>
  <si>
    <t>0.0427793</t>
  </si>
  <si>
    <t>0.0430571</t>
  </si>
  <si>
    <t>0.0433349</t>
  </si>
  <si>
    <t>0.0436127</t>
  </si>
  <si>
    <t>0.0438905</t>
  </si>
  <si>
    <t>0.0441682</t>
  </si>
  <si>
    <t>0.044446</t>
  </si>
  <si>
    <t>0.0447238</t>
  </si>
  <si>
    <t>0.0450016</t>
  </si>
  <si>
    <t>0.0452794</t>
  </si>
  <si>
    <t>0.0455572</t>
  </si>
  <si>
    <t>0.045835</t>
  </si>
  <si>
    <t>0.0461128</t>
  </si>
  <si>
    <t>0.0463905</t>
  </si>
  <si>
    <t>0.0466683</t>
  </si>
  <si>
    <t>0.0469461</t>
  </si>
  <si>
    <t>0.0472239</t>
  </si>
  <si>
    <t>0.0475017</t>
  </si>
  <si>
    <t>0.0477795</t>
  </si>
  <si>
    <t>0.0480573</t>
  </si>
  <si>
    <t>0.0483351</t>
  </si>
  <si>
    <t>0.0486128</t>
  </si>
  <si>
    <t>0.0488906</t>
  </si>
  <si>
    <t>0.0491684</t>
  </si>
  <si>
    <t>0.0494462</t>
  </si>
  <si>
    <t>0.049724</t>
  </si>
  <si>
    <t>0.0500018</t>
  </si>
  <si>
    <t>0.0502796</t>
  </si>
  <si>
    <t>0.0505574</t>
  </si>
  <si>
    <t>0.0508351</t>
  </si>
  <si>
    <t>0.0511129</t>
  </si>
  <si>
    <t>0.0513907</t>
  </si>
  <si>
    <t>0.0516685</t>
  </si>
  <si>
    <t>0.0519463</t>
  </si>
  <si>
    <t>0.0522241</t>
  </si>
  <si>
    <t>0.0525019</t>
  </si>
  <si>
    <t>0.0527797</t>
  </si>
  <si>
    <t>0.0530574</t>
  </si>
  <si>
    <t>0.0533352</t>
  </si>
  <si>
    <t>0.053613</t>
  </si>
  <si>
    <t>0.0538908</t>
  </si>
  <si>
    <t>0.0000000001</t>
  </si>
  <si>
    <t>0.00028402035</t>
  </si>
  <si>
    <t>0.01136329</t>
  </si>
  <si>
    <t>0.034135495</t>
  </si>
  <si>
    <t>0.0593158</t>
  </si>
  <si>
    <t>0.0792846</t>
  </si>
  <si>
    <t>0.093346</t>
  </si>
  <si>
    <t>0.10771185</t>
  </si>
  <si>
    <t>0.120421</t>
  </si>
  <si>
    <t>0.13048015</t>
  </si>
  <si>
    <t>0.1396948</t>
  </si>
  <si>
    <t>0.1517429</t>
  </si>
  <si>
    <t>0.16468075</t>
  </si>
  <si>
    <t>0.1757583</t>
  </si>
  <si>
    <t>0.1829019</t>
  </si>
  <si>
    <t>0.18923295</t>
  </si>
  <si>
    <t>0.19526585</t>
  </si>
  <si>
    <t>0.19926665</t>
  </si>
  <si>
    <t>0.19866465</t>
  </si>
  <si>
    <t>0.1944823</t>
  </si>
  <si>
    <t>0.18338055</t>
  </si>
  <si>
    <t>0.1672587</t>
  </si>
  <si>
    <t>0.147983</t>
  </si>
  <si>
    <t>0.12695675</t>
  </si>
  <si>
    <t>0.10520465</t>
  </si>
  <si>
    <t>0.08592345</t>
  </si>
  <si>
    <t>0.0632049</t>
  </si>
  <si>
    <t>0.03686706</t>
  </si>
  <si>
    <t>0.012424915</t>
  </si>
  <si>
    <t>0.0001068313</t>
  </si>
  <si>
    <t>0.00019483585</t>
  </si>
  <si>
    <t>0.00024107965</t>
  </si>
  <si>
    <t>0.01134348</t>
  </si>
  <si>
    <t>0.034142155</t>
  </si>
  <si>
    <t>0.0593765</t>
  </si>
  <si>
    <t>0.0794497</t>
  </si>
  <si>
    <t>0.0935197</t>
  </si>
  <si>
    <t>0.10776115</t>
  </si>
  <si>
    <t>0.12007045</t>
  </si>
  <si>
    <t>0.129607</t>
  </si>
  <si>
    <t>0.1380966</t>
  </si>
  <si>
    <t>0.14939175</t>
  </si>
  <si>
    <t>0.1617526</t>
  </si>
  <si>
    <t>0.17255935</t>
  </si>
  <si>
    <t>0.1796073</t>
  </si>
  <si>
    <t>0.1861896</t>
  </si>
  <si>
    <t>0.19262015</t>
  </si>
  <si>
    <t>0.19674815</t>
  </si>
  <si>
    <t>0.1959435</t>
  </si>
  <si>
    <t>0.19185315</t>
  </si>
  <si>
    <t>0.18154125</t>
  </si>
  <si>
    <t>0.16629155</t>
  </si>
  <si>
    <t>0.147515</t>
  </si>
  <si>
    <t>0.1266497</t>
  </si>
  <si>
    <t>0.1051092</t>
  </si>
  <si>
    <t>0.08618665</t>
  </si>
  <si>
    <t>0.063564</t>
  </si>
  <si>
    <t>0.036946675</t>
  </si>
  <si>
    <t>0.012322585</t>
  </si>
  <si>
    <t>0.0002161192</t>
  </si>
  <si>
    <t>0.00024621575</t>
  </si>
  <si>
    <t>0.011340295</t>
  </si>
  <si>
    <t>0.034118425</t>
  </si>
  <si>
    <t>0.0593312</t>
  </si>
  <si>
    <t>0.07943545</t>
  </si>
  <si>
    <t>0.0936598</t>
  </si>
  <si>
    <t>0.1080353</t>
  </si>
  <si>
    <t>0.12025455</t>
  </si>
  <si>
    <t>0.1293628</t>
  </si>
  <si>
    <t>0.1377159</t>
  </si>
  <si>
    <t>0.1494711</t>
  </si>
  <si>
    <t>0.1625226</t>
  </si>
  <si>
    <t>0.1740028</t>
  </si>
  <si>
    <t>0.18150885</t>
  </si>
  <si>
    <t>0.1881398</t>
  </si>
  <si>
    <t>0.19430255</t>
  </si>
  <si>
    <t>0.19821635</t>
  </si>
  <si>
    <t>0.19756285</t>
  </si>
  <si>
    <t>0.19356445</t>
  </si>
  <si>
    <t>0.18267105</t>
  </si>
  <si>
    <t>0.16657315</t>
  </si>
  <si>
    <t>0.14737295</t>
  </si>
  <si>
    <t>0.1265187</t>
  </si>
  <si>
    <t>0.1049561</t>
  </si>
  <si>
    <t>0.08585855</t>
  </si>
  <si>
    <t>0.06319065</t>
  </si>
  <si>
    <t>0.036756745</t>
  </si>
  <si>
    <t>0.0123155</t>
  </si>
  <si>
    <t>time-step</t>
  </si>
  <si>
    <t>static pressure</t>
  </si>
  <si>
    <t>flow-time</t>
  </si>
  <si>
    <t>full geom</t>
  </si>
  <si>
    <t>20x100</t>
  </si>
  <si>
    <t>33,33x60</t>
  </si>
  <si>
    <t>40x50</t>
  </si>
  <si>
    <t>299999.7</t>
  </si>
  <si>
    <t>0.0002778</t>
  </si>
  <si>
    <t>0.0005556</t>
  </si>
  <si>
    <t>0.0008333999</t>
  </si>
  <si>
    <t>0.0011112</t>
  </si>
  <si>
    <t>0.001389</t>
  </si>
  <si>
    <t>0.0016668</t>
  </si>
  <si>
    <t>0.0019446</t>
  </si>
  <si>
    <t>0.0022224</t>
  </si>
  <si>
    <t>0.0025002</t>
  </si>
  <si>
    <t>0.002778</t>
  </si>
  <si>
    <t>0.0030558</t>
  </si>
  <si>
    <t>0.0033336</t>
  </si>
  <si>
    <t>0.0036114</t>
  </si>
  <si>
    <t>0.0038892</t>
  </si>
  <si>
    <t>0.004167</t>
  </si>
  <si>
    <t>0.0044448</t>
  </si>
  <si>
    <t>0.0047226</t>
  </si>
  <si>
    <t>0.0050004</t>
  </si>
  <si>
    <t>0.0052782</t>
  </si>
  <si>
    <t>0.005556</t>
  </si>
  <si>
    <t>0.0058338</t>
  </si>
  <si>
    <t>0.0061116</t>
  </si>
  <si>
    <t>0.0063894</t>
  </si>
  <si>
    <t>0.0066672</t>
  </si>
  <si>
    <t>0.006945</t>
  </si>
  <si>
    <t>0.0072228</t>
  </si>
  <si>
    <t>0.0075006</t>
  </si>
  <si>
    <t>0.0077784</t>
  </si>
  <si>
    <t>0.0080562</t>
  </si>
  <si>
    <t>0.008334</t>
  </si>
  <si>
    <t>301471.8</t>
  </si>
  <si>
    <t>0.0086118</t>
  </si>
  <si>
    <t>0.0088896</t>
  </si>
  <si>
    <t>0.009167399</t>
  </si>
  <si>
    <t>0.0094452</t>
  </si>
  <si>
    <t>0.009722999</t>
  </si>
  <si>
    <t>0.0100008</t>
  </si>
  <si>
    <t>0.0102786</t>
  </si>
  <si>
    <t>0.0105564</t>
  </si>
  <si>
    <t>0.0108342</t>
  </si>
  <si>
    <t>0.011112</t>
  </si>
  <si>
    <t>0.0113898</t>
  </si>
  <si>
    <t>0.0116676</t>
  </si>
  <si>
    <t>0.0119454</t>
  </si>
  <si>
    <t>0.0122232</t>
  </si>
  <si>
    <t>0.012501</t>
  </si>
  <si>
    <t>0.0127788</t>
  </si>
  <si>
    <t>0.0130566</t>
  </si>
  <si>
    <t>0.0133344</t>
  </si>
  <si>
    <t>0.0136122</t>
  </si>
  <si>
    <t>0.01389</t>
  </si>
  <si>
    <t>0.0141678</t>
  </si>
  <si>
    <t>0.0144456</t>
  </si>
  <si>
    <t>0.0147234</t>
  </si>
  <si>
    <t>0.0150012</t>
  </si>
  <si>
    <t>0.015279</t>
  </si>
  <si>
    <t>0.0155568</t>
  </si>
  <si>
    <t>0.0158346</t>
  </si>
  <si>
    <t>0.0161124</t>
  </si>
  <si>
    <t>0.0163902</t>
  </si>
  <si>
    <t>0.016668</t>
  </si>
  <si>
    <t>0.0169458</t>
  </si>
  <si>
    <t>0.0172236</t>
  </si>
  <si>
    <t>0.0175014</t>
  </si>
  <si>
    <t>0.0177792</t>
  </si>
  <si>
    <t>0.018057</t>
  </si>
  <si>
    <t>0.0183348</t>
  </si>
  <si>
    <t>0.0186126</t>
  </si>
  <si>
    <t>0.0188904</t>
  </si>
  <si>
    <t>0.0191682</t>
  </si>
  <si>
    <t>0.019446</t>
  </si>
  <si>
    <t>0.0197238</t>
  </si>
  <si>
    <t>0.0200016</t>
  </si>
  <si>
    <t>0.0202794</t>
  </si>
  <si>
    <t>0.0205572</t>
  </si>
  <si>
    <t>0.020835</t>
  </si>
  <si>
    <t>0.0211128</t>
  </si>
  <si>
    <t>0.0213906</t>
  </si>
  <si>
    <t>0.0216684</t>
  </si>
  <si>
    <t>0.0219462</t>
  </si>
  <si>
    <t>0.022224</t>
  </si>
  <si>
    <t>0.0225018</t>
  </si>
  <si>
    <t>0.0227796</t>
  </si>
  <si>
    <t>0.0230574</t>
  </si>
  <si>
    <t>0.0233352</t>
  </si>
  <si>
    <t>0.023613</t>
  </si>
  <si>
    <t>0.0238908</t>
  </si>
  <si>
    <t>0.0241686</t>
  </si>
  <si>
    <t>0.0244464</t>
  </si>
  <si>
    <t>0.0247242</t>
  </si>
  <si>
    <t>0.025002</t>
  </si>
  <si>
    <t>0.0252798</t>
  </si>
  <si>
    <t>0.0255576</t>
  </si>
  <si>
    <t>0.0258354</t>
  </si>
  <si>
    <t>0.0261132</t>
  </si>
  <si>
    <t>0.026391</t>
  </si>
  <si>
    <t>0.0266688</t>
  </si>
  <si>
    <t>0.0269466</t>
  </si>
  <si>
    <t>0.0272244</t>
  </si>
  <si>
    <t>0.0275022</t>
  </si>
  <si>
    <t>0.02778</t>
  </si>
  <si>
    <t>0.0280578</t>
  </si>
  <si>
    <t>0.0283356</t>
  </si>
  <si>
    <t>0.0286134</t>
  </si>
  <si>
    <t>0.0288912</t>
  </si>
  <si>
    <t>0.029169</t>
  </si>
  <si>
    <t>0.0294468</t>
  </si>
  <si>
    <t>0.0297246</t>
  </si>
  <si>
    <t>0.0300024</t>
  </si>
  <si>
    <t>0.0302802</t>
  </si>
  <si>
    <t>0.030558</t>
  </si>
  <si>
    <t>0.0308358</t>
  </si>
  <si>
    <t>0.0311136</t>
  </si>
  <si>
    <t>0.0313914</t>
  </si>
  <si>
    <t>0.0316692</t>
  </si>
  <si>
    <t>0.031947</t>
  </si>
  <si>
    <t>0.0322248</t>
  </si>
  <si>
    <t>0.0325026</t>
  </si>
  <si>
    <t>0.0327804</t>
  </si>
  <si>
    <t>0.0330582</t>
  </si>
  <si>
    <t>0.033336</t>
  </si>
  <si>
    <t>0.0336138</t>
  </si>
  <si>
    <t>0.0338916</t>
  </si>
  <si>
    <t>0.0341694</t>
  </si>
  <si>
    <t>0.0344472</t>
  </si>
  <si>
    <t>0.034725</t>
  </si>
  <si>
    <t>0.0350028</t>
  </si>
  <si>
    <t>0.0352806</t>
  </si>
  <si>
    <t>0.0355584</t>
  </si>
  <si>
    <t>0.0358362</t>
  </si>
  <si>
    <t>0.036114</t>
  </si>
  <si>
    <t>0.0363918</t>
  </si>
  <si>
    <t>0.0366696</t>
  </si>
  <si>
    <t>0.0369474</t>
  </si>
  <si>
    <t>0.0372252</t>
  </si>
  <si>
    <t>0.037503</t>
  </si>
  <si>
    <t>0.0377808</t>
  </si>
  <si>
    <t>0.0380586</t>
  </si>
  <si>
    <t>0.0383364</t>
  </si>
  <si>
    <t>0.0386142</t>
  </si>
  <si>
    <t>0.038892</t>
  </si>
  <si>
    <t>0.0391698</t>
  </si>
  <si>
    <t>0.0394476</t>
  </si>
  <si>
    <t>0.0397254</t>
  </si>
  <si>
    <t>0.0400032</t>
  </si>
  <si>
    <t>0.040281</t>
  </si>
  <si>
    <t>0.0405588</t>
  </si>
  <si>
    <t>0.0408366</t>
  </si>
  <si>
    <t>0.0411144</t>
  </si>
  <si>
    <t>0.0413922</t>
  </si>
  <si>
    <t>0.04167</t>
  </si>
  <si>
    <t>0.0419478</t>
  </si>
  <si>
    <t>0.0422256</t>
  </si>
  <si>
    <t>0.0425034</t>
  </si>
  <si>
    <t>0.0427812</t>
  </si>
  <si>
    <t>0.043059</t>
  </si>
  <si>
    <t>0.0433368</t>
  </si>
  <si>
    <t>0.0436146</t>
  </si>
  <si>
    <t>0.0438924</t>
  </si>
  <si>
    <t>0.0441702</t>
  </si>
  <si>
    <t>0.044448</t>
  </si>
  <si>
    <t>0.0447258</t>
  </si>
  <si>
    <t>0.0450036</t>
  </si>
  <si>
    <t>0.0452814</t>
  </si>
  <si>
    <t>0.0455592</t>
  </si>
  <si>
    <t>0.045837</t>
  </si>
  <si>
    <t>0.0461148</t>
  </si>
  <si>
    <t>0.0463926</t>
  </si>
  <si>
    <t>0.0466704</t>
  </si>
  <si>
    <t>0.0469482</t>
  </si>
  <si>
    <t>0.047226</t>
  </si>
  <si>
    <t>0.0475038</t>
  </si>
  <si>
    <t>0.0477816</t>
  </si>
  <si>
    <t>0.0480594</t>
  </si>
  <si>
    <t>0.0483372</t>
  </si>
  <si>
    <t>0.048615</t>
  </si>
  <si>
    <t>0.0488928</t>
  </si>
  <si>
    <t>0.0491706</t>
  </si>
  <si>
    <t>0.0494484</t>
  </si>
  <si>
    <t>0.0497262</t>
  </si>
  <si>
    <t>0.050004</t>
  </si>
  <si>
    <t>0.0502818</t>
  </si>
  <si>
    <t>0.0505596</t>
  </si>
  <si>
    <t>0.0508374</t>
  </si>
  <si>
    <t>0.0511152</t>
  </si>
  <si>
    <t>0.051393</t>
  </si>
  <si>
    <t>0.0516708</t>
  </si>
  <si>
    <t>0.0519486</t>
  </si>
  <si>
    <t>0.0522264</t>
  </si>
  <si>
    <t>0.0525042</t>
  </si>
  <si>
    <t>0.052782</t>
  </si>
  <si>
    <t>0.0530598</t>
  </si>
  <si>
    <t>0.0533376</t>
  </si>
  <si>
    <t>0.0536154</t>
  </si>
  <si>
    <t>297985.1</t>
  </si>
  <si>
    <t>0.0538932</t>
  </si>
  <si>
    <t>0.054171</t>
  </si>
  <si>
    <t>predkosc wylotowa</t>
  </si>
  <si>
    <t>[m/s]</t>
  </si>
  <si>
    <t>168.7493</t>
  </si>
  <si>
    <t>168.6375</t>
  </si>
  <si>
    <t>168.2153</t>
  </si>
  <si>
    <t>168.7084</t>
  </si>
  <si>
    <t>168.1409</t>
  </si>
  <si>
    <t>167.764</t>
  </si>
  <si>
    <t>168.543</t>
  </si>
  <si>
    <t>168.5034</t>
  </si>
  <si>
    <t>168.4713</t>
  </si>
  <si>
    <t>168.826</t>
  </si>
  <si>
    <t>168.3939</t>
  </si>
  <si>
    <t>168.3054</t>
  </si>
  <si>
    <t>168.5061</t>
  </si>
  <si>
    <t>168.5571</t>
  </si>
  <si>
    <t>168.5701</t>
  </si>
  <si>
    <t>168.8108</t>
  </si>
  <si>
    <t>168.4442</t>
  </si>
  <si>
    <t>168.4383</t>
  </si>
  <si>
    <t>300407.2</t>
  </si>
  <si>
    <t>301445.2</t>
  </si>
  <si>
    <t>302897.4</t>
  </si>
  <si>
    <t>304258.4</t>
  </si>
  <si>
    <t>305351.8</t>
  </si>
  <si>
    <t>306628.8</t>
  </si>
  <si>
    <t>308849.2</t>
  </si>
  <si>
    <t>309656.1</t>
  </si>
  <si>
    <t>310991.6</t>
  </si>
  <si>
    <t>312426.6</t>
  </si>
  <si>
    <t>313675.6</t>
  </si>
  <si>
    <t>314486.5</t>
  </si>
  <si>
    <t>315257.1</t>
  </si>
  <si>
    <t>316005.2</t>
  </si>
  <si>
    <t>316382.4</t>
  </si>
  <si>
    <t>315854.8</t>
  </si>
  <si>
    <t>314472.6</t>
  </si>
  <si>
    <t>312606.4</t>
  </si>
  <si>
    <t>310545.1</t>
  </si>
  <si>
    <t>308500.1</t>
  </si>
  <si>
    <t>306620.4</t>
  </si>
  <si>
    <t>305209.1</t>
  </si>
  <si>
    <t>302433.1</t>
  </si>
  <si>
    <t>301360.3</t>
  </si>
  <si>
    <t>301043.6</t>
  </si>
  <si>
    <t>301212.9</t>
  </si>
  <si>
    <t>301289.7</t>
  </si>
  <si>
    <t>301370.8</t>
  </si>
  <si>
    <t>301450.8</t>
  </si>
  <si>
    <t>301525.7</t>
  </si>
  <si>
    <t>301592.6</t>
  </si>
  <si>
    <t>301650.8</t>
  </si>
  <si>
    <t>301699.8</t>
  </si>
  <si>
    <t>301739.2</t>
  </si>
  <si>
    <t>301768.8</t>
  </si>
  <si>
    <t>301789.2</t>
  </si>
  <si>
    <t>301801.5</t>
  </si>
  <si>
    <t>301807.1</t>
  </si>
  <si>
    <t>301807.5</t>
  </si>
  <si>
    <t>301804.2</t>
  </si>
  <si>
    <t>301799.1</t>
  </si>
  <si>
    <t>301791.5</t>
  </si>
  <si>
    <t>301794.2</t>
  </si>
  <si>
    <t>301805.9</t>
  </si>
  <si>
    <t>301830.9</t>
  </si>
  <si>
    <t>301873.4</t>
  </si>
  <si>
    <t>301936.7</t>
  </si>
  <si>
    <t>302021.3</t>
  </si>
  <si>
    <t>302124.6</t>
  </si>
  <si>
    <t>302241.6</t>
  </si>
  <si>
    <t>302365.8</t>
  </si>
  <si>
    <t>302490.1</t>
  </si>
  <si>
    <t>302606.1</t>
  </si>
  <si>
    <t>302707.8</t>
  </si>
  <si>
    <t>302790.9</t>
  </si>
  <si>
    <t>302852.4</t>
  </si>
  <si>
    <t>302891.8</t>
  </si>
  <si>
    <t>302910.7</t>
  </si>
  <si>
    <t>302911.8</t>
  </si>
  <si>
    <t>302872.9</t>
  </si>
  <si>
    <t>302839.9</t>
  </si>
  <si>
    <t>302802.4</t>
  </si>
  <si>
    <t>302764.2</t>
  </si>
  <si>
    <t>302704.2</t>
  </si>
  <si>
    <t>302692.8</t>
  </si>
  <si>
    <t>302707.3</t>
  </si>
  <si>
    <t>303168.7</t>
  </si>
  <si>
    <t>304318.8</t>
  </si>
  <si>
    <t>305938.4</t>
  </si>
  <si>
    <t>307475.7</t>
  </si>
  <si>
    <t>308682.4</t>
  </si>
  <si>
    <t>310008.2</t>
  </si>
  <si>
    <t>311132.9</t>
  </si>
  <si>
    <t>311971.9</t>
  </si>
  <si>
    <t>312694.7</t>
  </si>
  <si>
    <t>313711.4</t>
  </si>
  <si>
    <t>314823.8</t>
  </si>
  <si>
    <t>315760.8</t>
  </si>
  <si>
    <t>316259.3</t>
  </si>
  <si>
    <t>316740.2</t>
  </si>
  <si>
    <t>317197.9</t>
  </si>
  <si>
    <t>317346.8</t>
  </si>
  <si>
    <t>316861.8</t>
  </si>
  <si>
    <t>314414.2</t>
  </si>
  <si>
    <t>312351.6</t>
  </si>
  <si>
    <t>310061.2</t>
  </si>
  <si>
    <t>307767.9</t>
  </si>
  <si>
    <t>305664.2</t>
  </si>
  <si>
    <t>304060.6</t>
  </si>
  <si>
    <t>302415.1</t>
  </si>
  <si>
    <t>300927.6</t>
  </si>
  <si>
    <t>299709.7</t>
  </si>
  <si>
    <t>299287.8</t>
  </si>
  <si>
    <t>299372.3</t>
  </si>
  <si>
    <t>299365.1</t>
  </si>
  <si>
    <t>299358.8</t>
  </si>
  <si>
    <t>299347.2</t>
  </si>
  <si>
    <t>299327.9</t>
  </si>
  <si>
    <t>299301.5</t>
  </si>
  <si>
    <t>299269.5</t>
  </si>
  <si>
    <t>299233.2</t>
  </si>
  <si>
    <t>299150.8</t>
  </si>
  <si>
    <t>299108.1</t>
  </si>
  <si>
    <t>299065.9</t>
  </si>
  <si>
    <t>299024.8</t>
  </si>
  <si>
    <t>298985.2</t>
  </si>
  <si>
    <t>298947.7</t>
  </si>
  <si>
    <t>298912.2</t>
  </si>
  <si>
    <t>298879.2</t>
  </si>
  <si>
    <t>298849.4</t>
  </si>
  <si>
    <t>298804.7</t>
  </si>
  <si>
    <t>298794.6</t>
  </si>
  <si>
    <t>298799.3</t>
  </si>
  <si>
    <t>298826.2</t>
  </si>
  <si>
    <t>298963.2</t>
  </si>
  <si>
    <t>299066.2</t>
  </si>
  <si>
    <t>299179.8</t>
  </si>
  <si>
    <t>299292.8</t>
  </si>
  <si>
    <t>299397.5</t>
  </si>
  <si>
    <t>299489.3</t>
  </si>
  <si>
    <t>299566.9</t>
  </si>
  <si>
    <t>299629.2</t>
  </si>
  <si>
    <t>299675.6</t>
  </si>
  <si>
    <t>299706.7</t>
  </si>
  <si>
    <t>299723.9</t>
  </si>
  <si>
    <t>299730.1</t>
  </si>
  <si>
    <t>299729.1</t>
  </si>
  <si>
    <t>299726.1</t>
  </si>
  <si>
    <t>299727.8</t>
  </si>
  <si>
    <t>299743.4</t>
  </si>
  <si>
    <t>299786.5</t>
  </si>
  <si>
    <t>299871.9</t>
  </si>
  <si>
    <t>300007.6</t>
  </si>
  <si>
    <t>300166.9</t>
  </si>
  <si>
    <t>300779.3</t>
  </si>
  <si>
    <t>302021.6</t>
  </si>
  <si>
    <t>303663.9</t>
  </si>
  <si>
    <t>305145.5</t>
  </si>
  <si>
    <t>306268.8</t>
  </si>
  <si>
    <t>307497.2</t>
  </si>
  <si>
    <t>308516.2</t>
  </si>
  <si>
    <t>309229.2</t>
  </si>
  <si>
    <t>310897.2</t>
  </si>
  <si>
    <t>312092.1</t>
  </si>
  <si>
    <t>313170.3</t>
  </si>
  <si>
    <t>313834.5</t>
  </si>
  <si>
    <t>314471.6</t>
  </si>
  <si>
    <t>315076.3</t>
  </si>
  <si>
    <t>315146.6</t>
  </si>
  <si>
    <t>314514.1</t>
  </si>
  <si>
    <t>311048.7</t>
  </si>
  <si>
    <t>308875.4</t>
  </si>
  <si>
    <t>306721.3</t>
  </si>
  <si>
    <t>304723.9</t>
  </si>
  <si>
    <t>303190.8</t>
  </si>
  <si>
    <t>301608.2</t>
  </si>
  <si>
    <t>300176.5</t>
  </si>
  <si>
    <t>299003.7</t>
  </si>
  <si>
    <t>298607.3</t>
  </si>
  <si>
    <t>298711.5</t>
  </si>
  <si>
    <t>298739.7</t>
  </si>
  <si>
    <t>298752.3</t>
  </si>
  <si>
    <t>298758.4</t>
  </si>
  <si>
    <t>298757.1</t>
  </si>
  <si>
    <t>298749.3</t>
  </si>
  <si>
    <t>298735.9</t>
  </si>
  <si>
    <t>298717.3</t>
  </si>
  <si>
    <t>298694.8</t>
  </si>
  <si>
    <t>298669.5</t>
  </si>
  <si>
    <t>298642.7</t>
  </si>
  <si>
    <t>298614.9</t>
  </si>
  <si>
    <t>298586.8</t>
  </si>
  <si>
    <t>298506.5</t>
  </si>
  <si>
    <t>298483.6</t>
  </si>
  <si>
    <t>298464.6</t>
  </si>
  <si>
    <t>298451.2</t>
  </si>
  <si>
    <t>298445.6</t>
  </si>
  <si>
    <t>298450.8</t>
  </si>
  <si>
    <t>298470.2</t>
  </si>
  <si>
    <t>299999.8</t>
  </si>
  <si>
    <t>300406.8</t>
  </si>
  <si>
    <t>301443.5</t>
  </si>
  <si>
    <t>302894.5</t>
  </si>
  <si>
    <t>304256.3</t>
  </si>
  <si>
    <t>306627.2</t>
  </si>
  <si>
    <t>308845.9</t>
  </si>
  <si>
    <t>309654.8</t>
  </si>
  <si>
    <t>310990.8</t>
  </si>
  <si>
    <t>312426.3</t>
  </si>
  <si>
    <t>313675.9</t>
  </si>
  <si>
    <t>314486.9</t>
  </si>
  <si>
    <t>315256.7</t>
  </si>
  <si>
    <t>316004.5</t>
  </si>
  <si>
    <t>316490.8</t>
  </si>
  <si>
    <t>316383.1</t>
  </si>
  <si>
    <t>315854.9</t>
  </si>
  <si>
    <t>312603.8</t>
  </si>
  <si>
    <t>310541.1</t>
  </si>
  <si>
    <t>308495.9</t>
  </si>
  <si>
    <t>306616.9</t>
  </si>
  <si>
    <t>305206.7</t>
  </si>
  <si>
    <t>303750.1</t>
  </si>
  <si>
    <t>302433.4</t>
  </si>
  <si>
    <t>301360.1</t>
  </si>
  <si>
    <t>301040.9</t>
  </si>
  <si>
    <t>301206.1</t>
  </si>
  <si>
    <t>301277.7</t>
  </si>
  <si>
    <t>301352.2</t>
  </si>
  <si>
    <t>301423.8</t>
  </si>
  <si>
    <t>301488.3</t>
  </si>
  <si>
    <t>0.0091674</t>
  </si>
  <si>
    <t>301542.4</t>
  </si>
  <si>
    <t>301585.7</t>
  </si>
  <si>
    <t>301618.6</t>
  </si>
  <si>
    <t>301641.2</t>
  </si>
  <si>
    <t>301654.3</t>
  </si>
  <si>
    <t>301656.8</t>
  </si>
  <si>
    <t>301648.8</t>
  </si>
  <si>
    <t>301636.2</t>
  </si>
  <si>
    <t>301619.8</t>
  </si>
  <si>
    <t>301600.2</t>
  </si>
  <si>
    <t>301578.1</t>
  </si>
  <si>
    <t>301554.3</t>
  </si>
  <si>
    <t>301529.3</t>
  </si>
  <si>
    <t>301503.9</t>
  </si>
  <si>
    <t>301478.8</t>
  </si>
  <si>
    <t>301454.9</t>
  </si>
  <si>
    <t>301433.6</t>
  </si>
  <si>
    <t>301416.5</t>
  </si>
  <si>
    <t>301406.4</t>
  </si>
  <si>
    <t>301407.5</t>
  </si>
  <si>
    <t>301425.1</t>
  </si>
  <si>
    <t>301462.7</t>
  </si>
  <si>
    <t>301519.5</t>
  </si>
  <si>
    <t>301590.3</t>
  </si>
  <si>
    <t>301668.5</t>
  </si>
  <si>
    <t>301820.3</t>
  </si>
  <si>
    <t>301935.2</t>
  </si>
  <si>
    <t>301972.7</t>
  </si>
  <si>
    <t>301996.6</t>
  </si>
  <si>
    <t>302007.8</t>
  </si>
  <si>
    <t>302007.9</t>
  </si>
  <si>
    <t>301998.5</t>
  </si>
  <si>
    <t>301981.2</t>
  </si>
  <si>
    <t>301960.5</t>
  </si>
  <si>
    <t>301934.1</t>
  </si>
  <si>
    <t>301903.4</t>
  </si>
  <si>
    <t>302247.9</t>
  </si>
  <si>
    <t>303200.8</t>
  </si>
  <si>
    <t>304543.2</t>
  </si>
  <si>
    <t>305789.6</t>
  </si>
  <si>
    <t>307956.6</t>
  </si>
  <si>
    <t>309074.5</t>
  </si>
  <si>
    <t>310037.1</t>
  </si>
  <si>
    <t>310976.8</t>
  </si>
  <si>
    <t>312261.6</t>
  </si>
  <si>
    <t>313645.2</t>
  </si>
  <si>
    <t>314819.7</t>
  </si>
  <si>
    <t>315503.7</t>
  </si>
  <si>
    <t>316116.3</t>
  </si>
  <si>
    <t>316661.7</t>
  </si>
  <si>
    <t>316866.5</t>
  </si>
  <si>
    <t>316415.9</t>
  </si>
  <si>
    <t>315587.6</t>
  </si>
  <si>
    <t>311984.9</t>
  </si>
  <si>
    <t>309753.9</t>
  </si>
  <si>
    <t>307550.6</t>
  </si>
  <si>
    <t>305564.4</t>
  </si>
  <si>
    <t>304091.2</t>
  </si>
  <si>
    <t>302570.2</t>
  </si>
  <si>
    <t>301184.2</t>
  </si>
  <si>
    <t>300057.9</t>
  </si>
  <si>
    <t>299842.9</t>
  </si>
  <si>
    <t>299880.9</t>
  </si>
  <si>
    <t>299919.2</t>
  </si>
  <si>
    <t>299986.9</t>
  </si>
  <si>
    <t>299988.5</t>
  </si>
  <si>
    <t>299980.5</t>
  </si>
  <si>
    <t>299963.7</t>
  </si>
  <si>
    <t>299939.6</t>
  </si>
  <si>
    <t>299909.8</t>
  </si>
  <si>
    <t>299875.8</t>
  </si>
  <si>
    <t>299838.8</t>
  </si>
  <si>
    <t>299799.4</t>
  </si>
  <si>
    <t>299758.3</t>
  </si>
  <si>
    <t>299716.2</t>
  </si>
  <si>
    <t>299673.2</t>
  </si>
  <si>
    <t>299629.9</t>
  </si>
  <si>
    <t>299586.2</t>
  </si>
  <si>
    <t>299542.2</t>
  </si>
  <si>
    <t>299497.4</t>
  </si>
  <si>
    <t>299451.3</t>
  </si>
  <si>
    <t>299403.2</t>
  </si>
  <si>
    <t>299352.6</t>
  </si>
  <si>
    <t>299299.5</t>
  </si>
  <si>
    <t>299243.7</t>
  </si>
  <si>
    <t>299184.8</t>
  </si>
  <si>
    <t>299121.6</t>
  </si>
  <si>
    <t>299051.1</t>
  </si>
  <si>
    <t>298969.1</t>
  </si>
  <si>
    <t>298870.9</t>
  </si>
  <si>
    <t>298754.2</t>
  </si>
  <si>
    <t>298619.9</t>
  </si>
  <si>
    <t>298471.2</t>
  </si>
  <si>
    <t>298312.4</t>
  </si>
  <si>
    <t>298149.6</t>
  </si>
  <si>
    <t>297628.3</t>
  </si>
  <si>
    <t>297532.7</t>
  </si>
  <si>
    <t>297448.5</t>
  </si>
  <si>
    <t>297380.9</t>
  </si>
  <si>
    <t>297318.9</t>
  </si>
  <si>
    <t>297632.2</t>
  </si>
  <si>
    <t>301360.4</t>
  </si>
  <si>
    <t>304009.9</t>
  </si>
  <si>
    <t>307578.9</t>
  </si>
  <si>
    <t>309048.6</t>
  </si>
  <si>
    <t>310634.1</t>
  </si>
  <si>
    <t>312020.8</t>
  </si>
  <si>
    <t>312910.1</t>
  </si>
  <si>
    <t>313700.8</t>
  </si>
  <si>
    <t>314403.9</t>
  </si>
  <si>
    <t>314783.8</t>
  </si>
  <si>
    <t>313936.6</t>
  </si>
  <si>
    <t>312480.2</t>
  </si>
  <si>
    <t>310546.8</t>
  </si>
  <si>
    <t>308457.3</t>
  </si>
  <si>
    <t>306406.3</t>
  </si>
  <si>
    <t>303062.3</t>
  </si>
  <si>
    <t>301541.3</t>
  </si>
  <si>
    <t>300151.5</t>
  </si>
  <si>
    <t>299013.4</t>
  </si>
  <si>
    <t>298644.5</t>
  </si>
  <si>
    <t>298768.8</t>
  </si>
  <si>
    <t>298803.3</t>
  </si>
  <si>
    <t>298843.7</t>
  </si>
  <si>
    <t>298919.9</t>
  </si>
  <si>
    <t>298949.9</t>
  </si>
  <si>
    <t>298973.8</t>
  </si>
  <si>
    <t>298991.5</t>
  </si>
  <si>
    <t>299008.5</t>
  </si>
  <si>
    <t>299008.8</t>
  </si>
  <si>
    <t>299004.7</t>
  </si>
  <si>
    <t>298996.8</t>
  </si>
  <si>
    <t>298985.7</t>
  </si>
  <si>
    <t>298971.8</t>
  </si>
  <si>
    <t>298955.3</t>
  </si>
  <si>
    <t>298936.9</t>
  </si>
  <si>
    <t>298916.9</t>
  </si>
  <si>
    <t>298895.9</t>
  </si>
  <si>
    <t>298874.3</t>
  </si>
  <si>
    <t>298852.6</t>
  </si>
  <si>
    <t>298830.9</t>
  </si>
  <si>
    <t>298809.6</t>
  </si>
  <si>
    <t>total pressure</t>
  </si>
  <si>
    <t>300455.9</t>
  </si>
  <si>
    <t>301580.6</t>
  </si>
  <si>
    <t>303125.8</t>
  </si>
  <si>
    <t>304591.7</t>
  </si>
  <si>
    <t>305788.9</t>
  </si>
  <si>
    <t>307166.4</t>
  </si>
  <si>
    <t>309540.8</t>
  </si>
  <si>
    <t>311830.4</t>
  </si>
  <si>
    <t>313356.8</t>
  </si>
  <si>
    <t>314682.2</t>
  </si>
  <si>
    <t>315541.9</t>
  </si>
  <si>
    <t>316357.2</t>
  </si>
  <si>
    <t>317145.9</t>
  </si>
  <si>
    <t>317656.9</t>
  </si>
  <si>
    <t>317542.3</t>
  </si>
  <si>
    <t>316987.2</t>
  </si>
  <si>
    <t>315533.2</t>
  </si>
  <si>
    <t>313567.8</t>
  </si>
  <si>
    <t>311392.4</t>
  </si>
  <si>
    <t>307240.8</t>
  </si>
  <si>
    <t>305748.3</t>
  </si>
  <si>
    <t>304212.8</t>
  </si>
  <si>
    <t>302806.4</t>
  </si>
  <si>
    <t>301253.1</t>
  </si>
  <si>
    <t>301401.3</t>
  </si>
  <si>
    <t>301435.3</t>
  </si>
  <si>
    <t>301472.8</t>
  </si>
  <si>
    <t>301510.7</t>
  </si>
  <si>
    <t>301559.9</t>
  </si>
  <si>
    <t>301566.4</t>
  </si>
  <si>
    <t>301563.3</t>
  </si>
  <si>
    <t>301553.9</t>
  </si>
  <si>
    <t>301541.7</t>
  </si>
  <si>
    <t>301529.8</t>
  </si>
  <si>
    <t>301521.1</t>
  </si>
  <si>
    <t>301517.2</t>
  </si>
  <si>
    <t>301519.3</t>
  </si>
  <si>
    <t>301526.8</t>
  </si>
  <si>
    <t>301538.2</t>
  </si>
  <si>
    <t>301551.6</t>
  </si>
  <si>
    <t>301564.2</t>
  </si>
  <si>
    <t>301573.9</t>
  </si>
  <si>
    <t>301579.2</t>
  </si>
  <si>
    <t>301578.9</t>
  </si>
  <si>
    <t>301572.8</t>
  </si>
  <si>
    <t>301560.8</t>
  </si>
  <si>
    <t>301543.7</t>
  </si>
  <si>
    <t>301496.7</t>
  </si>
  <si>
    <t>301468.9</t>
  </si>
  <si>
    <t>301439.5</t>
  </si>
  <si>
    <t>301409.5</t>
  </si>
  <si>
    <t>301351.8</t>
  </si>
  <si>
    <t>301325.7</t>
  </si>
  <si>
    <t>301302.1</t>
  </si>
  <si>
    <t>301281.8</t>
  </si>
  <si>
    <t>301264.9</t>
  </si>
  <si>
    <t>301251.8</t>
  </si>
  <si>
    <t>301242.8</t>
  </si>
  <si>
    <t>301238.4</t>
  </si>
  <si>
    <t>301239.9</t>
  </si>
  <si>
    <t>301249.4</t>
  </si>
  <si>
    <t>301270.5</t>
  </si>
  <si>
    <t>301311.7</t>
  </si>
  <si>
    <t>301374.4</t>
  </si>
  <si>
    <t>301462.2</t>
  </si>
  <si>
    <t>302049.4</t>
  </si>
  <si>
    <t>303344.6</t>
  </si>
  <si>
    <t>305056.6</t>
  </si>
  <si>
    <t>306629.5</t>
  </si>
  <si>
    <t>307843.9</t>
  </si>
  <si>
    <t>309179.1</t>
  </si>
  <si>
    <t>310302.5</t>
  </si>
  <si>
    <t>311134.8</t>
  </si>
  <si>
    <t>311867.3</t>
  </si>
  <si>
    <t>312936.5</t>
  </si>
  <si>
    <t>314123.2</t>
  </si>
  <si>
    <t>315133.8</t>
  </si>
  <si>
    <t>316238.2</t>
  </si>
  <si>
    <t>316771.8</t>
  </si>
  <si>
    <t>316988.2</t>
  </si>
  <si>
    <t>315711.6</t>
  </si>
  <si>
    <t>314089.7</t>
  </si>
  <si>
    <t>311966.4</t>
  </si>
  <si>
    <t>309593.7</t>
  </si>
  <si>
    <t>307217.7</t>
  </si>
  <si>
    <t>305053.1</t>
  </si>
  <si>
    <t>303433.1</t>
  </si>
  <si>
    <t>301780.5</t>
  </si>
  <si>
    <t>299011.6</t>
  </si>
  <si>
    <t>298717.2</t>
  </si>
  <si>
    <t>298723.4</t>
  </si>
  <si>
    <t>298731.6</t>
  </si>
  <si>
    <t>298732.5</t>
  </si>
  <si>
    <t>298723.6</t>
  </si>
  <si>
    <t>298705.6</t>
  </si>
  <si>
    <t>298680.5</t>
  </si>
  <si>
    <t>298650.7</t>
  </si>
  <si>
    <t>298618.2</t>
  </si>
  <si>
    <t>298584.8</t>
  </si>
  <si>
    <t>298551.7</t>
  </si>
  <si>
    <t>298519.5</t>
  </si>
  <si>
    <t>298488.6</t>
  </si>
  <si>
    <t>298458.8</t>
  </si>
  <si>
    <t>298430.1</t>
  </si>
  <si>
    <t>298374.2</t>
  </si>
  <si>
    <t>298346.3</t>
  </si>
  <si>
    <t>298318.2</t>
  </si>
  <si>
    <t>298289.3</t>
  </si>
  <si>
    <t>298259.8</t>
  </si>
  <si>
    <t>298229.4</t>
  </si>
  <si>
    <t>298198.5</t>
  </si>
  <si>
    <t>298166.8</t>
  </si>
  <si>
    <t>298134.7</t>
  </si>
  <si>
    <t>298102.1</t>
  </si>
  <si>
    <t>298069.1</t>
  </si>
  <si>
    <t>298035.6</t>
  </si>
  <si>
    <t>298001.7</t>
  </si>
  <si>
    <t>297967.2</t>
  </si>
  <si>
    <t>297932.2</t>
  </si>
  <si>
    <t>297896.2</t>
  </si>
  <si>
    <t>297859.1</t>
  </si>
  <si>
    <t>297820.2</t>
  </si>
  <si>
    <t>297779.2</t>
  </si>
  <si>
    <t>297735.7</t>
  </si>
  <si>
    <t>297689.8</t>
  </si>
  <si>
    <t>297642.2</t>
  </si>
  <si>
    <t>297594.1</t>
  </si>
  <si>
    <t>297546.8</t>
  </si>
  <si>
    <t>297501.7</t>
  </si>
  <si>
    <t>297466.1</t>
  </si>
  <si>
    <t>297826.9</t>
  </si>
  <si>
    <t>298897.6</t>
  </si>
  <si>
    <t>300410.6</t>
  </si>
  <si>
    <t>301876.3</t>
  </si>
  <si>
    <t>303099.2</t>
  </si>
  <si>
    <t>304539.2</t>
  </si>
  <si>
    <t>305823.1</t>
  </si>
  <si>
    <t>306824.7</t>
  </si>
  <si>
    <t>307768.5</t>
  </si>
  <si>
    <t>309108.6</t>
  </si>
  <si>
    <t>310578.3</t>
  </si>
  <si>
    <t>311858.5</t>
  </si>
  <si>
    <t>312644.3</t>
  </si>
  <si>
    <t>313363.3</t>
  </si>
  <si>
    <t>314026.7</t>
  </si>
  <si>
    <t>314387.7</t>
  </si>
  <si>
    <t>314145.5</t>
  </si>
  <si>
    <t>313521.7</t>
  </si>
  <si>
    <t>312028.6</t>
  </si>
  <si>
    <t>310019.9</t>
  </si>
  <si>
    <t>307813.5</t>
  </si>
  <si>
    <t>305618.9</t>
  </si>
  <si>
    <t>303585.3</t>
  </si>
  <si>
    <t>302046.8</t>
  </si>
  <si>
    <t>300463.9</t>
  </si>
  <si>
    <t>299016.7</t>
  </si>
  <si>
    <t>297812.5</t>
  </si>
  <si>
    <t>297442.2</t>
  </si>
  <si>
    <t>297588.5</t>
  </si>
  <si>
    <t>297624.3</t>
  </si>
  <si>
    <t>297666.7</t>
  </si>
  <si>
    <t>297713.6</t>
  </si>
  <si>
    <t>297756.6</t>
  </si>
  <si>
    <t>297790.6</t>
  </si>
  <si>
    <t>297815.1</t>
  </si>
  <si>
    <t>297832.2</t>
  </si>
  <si>
    <t>297844.6</t>
  </si>
  <si>
    <t>297855.2</t>
  </si>
  <si>
    <t>297866.4</t>
  </si>
  <si>
    <t>297880.1</t>
  </si>
  <si>
    <t>297897.5</t>
  </si>
  <si>
    <t>297918.4</t>
  </si>
  <si>
    <t>297941.8</t>
  </si>
  <si>
    <t>297965.6</t>
  </si>
  <si>
    <t>297987.5</t>
  </si>
  <si>
    <t>298005.4</t>
  </si>
  <si>
    <t>298017.4</t>
  </si>
  <si>
    <t>298022.6</t>
  </si>
  <si>
    <t>298020.6</t>
  </si>
  <si>
    <t>298011.6</t>
  </si>
  <si>
    <t>297996.1</t>
  </si>
  <si>
    <t>300000.2</t>
  </si>
  <si>
    <t>300452.9</t>
  </si>
  <si>
    <t>301574.1</t>
  </si>
  <si>
    <t>303114.7</t>
  </si>
  <si>
    <t>304563.6</t>
  </si>
  <si>
    <t>305733.4</t>
  </si>
  <si>
    <t>310310.2</t>
  </si>
  <si>
    <t>311731.3</t>
  </si>
  <si>
    <t>313252.8</t>
  </si>
  <si>
    <t>314578.2</t>
  </si>
  <si>
    <t>315442.2</t>
  </si>
  <si>
    <t>316260.7</t>
  </si>
  <si>
    <t>317053.5</t>
  </si>
  <si>
    <t>317570.7</t>
  </si>
  <si>
    <t>317465.1</t>
  </si>
  <si>
    <t>316917.7</t>
  </si>
  <si>
    <t>315472.8</t>
  </si>
  <si>
    <t>313513.9</t>
  </si>
  <si>
    <t>311342.8</t>
  </si>
  <si>
    <t>309183.2</t>
  </si>
  <si>
    <t>307194.2</t>
  </si>
  <si>
    <t>305699.8</t>
  </si>
  <si>
    <t>304154.6</t>
  </si>
  <si>
    <t>301571.5</t>
  </si>
  <si>
    <t>301352.8</t>
  </si>
  <si>
    <t>301386.8</t>
  </si>
  <si>
    <t>301420.3</t>
  </si>
  <si>
    <t>301467.2</t>
  </si>
  <si>
    <t>301463.2</t>
  </si>
  <si>
    <t>301414.8</t>
  </si>
  <si>
    <t>301338.4</t>
  </si>
  <si>
    <t>301294.8</t>
  </si>
  <si>
    <t>301249.8</t>
  </si>
  <si>
    <t>301204.6</t>
  </si>
  <si>
    <t>301116.9</t>
  </si>
  <si>
    <t>301075.7</t>
  </si>
  <si>
    <t>301036.8</t>
  </si>
  <si>
    <t>301000.1</t>
  </si>
  <si>
    <t>300965.6</t>
  </si>
  <si>
    <t>300933.1</t>
  </si>
  <si>
    <t>300902.4</t>
  </si>
  <si>
    <t>300873.3</t>
  </si>
  <si>
    <t>300845.4</t>
  </si>
  <si>
    <t>300818.5</t>
  </si>
  <si>
    <t>300792.7</t>
  </si>
  <si>
    <t>300767.9</t>
  </si>
  <si>
    <t>300744.6</t>
  </si>
  <si>
    <t>300723.1</t>
  </si>
  <si>
    <t>300704.4</t>
  </si>
  <si>
    <t>300689.8</t>
  </si>
  <si>
    <t>300681.2</t>
  </si>
  <si>
    <t>300681.9</t>
  </si>
  <si>
    <t>300696.1</t>
  </si>
  <si>
    <t>300727.5</t>
  </si>
  <si>
    <t>300776.7</t>
  </si>
  <si>
    <t>300839.9</t>
  </si>
  <si>
    <t>300911.8</t>
  </si>
  <si>
    <t>300988.1</t>
  </si>
  <si>
    <t>301065.2</t>
  </si>
  <si>
    <t>301139.8</t>
  </si>
  <si>
    <t>301213.4</t>
  </si>
  <si>
    <t>301281.5</t>
  </si>
  <si>
    <t>301345.3</t>
  </si>
  <si>
    <t>301881.8</t>
  </si>
  <si>
    <t>303091.3</t>
  </si>
  <si>
    <t>306175.4</t>
  </si>
  <si>
    <t>307310.5</t>
  </si>
  <si>
    <t>308611.8</t>
  </si>
  <si>
    <t>309735.3</t>
  </si>
  <si>
    <t>310585.3</t>
  </si>
  <si>
    <t>311329.4</t>
  </si>
  <si>
    <t>312395.2</t>
  </si>
  <si>
    <t>313568.8</t>
  </si>
  <si>
    <t>314561.8</t>
  </si>
  <si>
    <t>315097.9</t>
  </si>
  <si>
    <t>315622.2</t>
  </si>
  <si>
    <t>316341.6</t>
  </si>
  <si>
    <t>315908.1</t>
  </si>
  <si>
    <t>313549.6</t>
  </si>
  <si>
    <t>311507.8</t>
  </si>
  <si>
    <t>309234.9</t>
  </si>
  <si>
    <t>306969.4</t>
  </si>
  <si>
    <t>304914.5</t>
  </si>
  <si>
    <t>303392.8</t>
  </si>
  <si>
    <t>301812.7</t>
  </si>
  <si>
    <t>300367.7</t>
  </si>
  <si>
    <t>299171.1</t>
  </si>
  <si>
    <t>298810.6</t>
  </si>
  <si>
    <t>298961.4</t>
  </si>
  <si>
    <t>298997.7</t>
  </si>
  <si>
    <t>299034.7</t>
  </si>
  <si>
    <t>299109.5</t>
  </si>
  <si>
    <t>299112.5</t>
  </si>
  <si>
    <t>299105.6</t>
  </si>
  <si>
    <t>299090.4</t>
  </si>
  <si>
    <t>299068.1</t>
  </si>
  <si>
    <t>299040.1</t>
  </si>
  <si>
    <t>299007.7</t>
  </si>
  <si>
    <t>298971.9</t>
  </si>
  <si>
    <t>298933.6</t>
  </si>
  <si>
    <t>298893.6</t>
  </si>
  <si>
    <t>298852.5</t>
  </si>
  <si>
    <t>298768.3</t>
  </si>
  <si>
    <t>298726.1</t>
  </si>
  <si>
    <t>298684.2</t>
  </si>
  <si>
    <t>298642.6</t>
  </si>
  <si>
    <t>298601.4</t>
  </si>
  <si>
    <t>298560.6</t>
  </si>
  <si>
    <t>298519.7</t>
  </si>
  <si>
    <t>298478.7</t>
  </si>
  <si>
    <t>298437.1</t>
  </si>
  <si>
    <t>298394.5</t>
  </si>
  <si>
    <t>298350.5</t>
  </si>
  <si>
    <t>298304.8</t>
  </si>
  <si>
    <t>298257.1</t>
  </si>
  <si>
    <t>298207.1</t>
  </si>
  <si>
    <t>298154.6</t>
  </si>
  <si>
    <t>298099.8</t>
  </si>
  <si>
    <t>297926.9</t>
  </si>
  <si>
    <t>297869.3</t>
  </si>
  <si>
    <t>297758.6</t>
  </si>
  <si>
    <t>297706.2</t>
  </si>
  <si>
    <t>297656.2</t>
  </si>
  <si>
    <t>297570.8</t>
  </si>
  <si>
    <t>297529.2</t>
  </si>
  <si>
    <t>297918.6</t>
  </si>
  <si>
    <t>300471.2</t>
  </si>
  <si>
    <t>301906.1</t>
  </si>
  <si>
    <t>304498.5</t>
  </si>
  <si>
    <t>305765.7</t>
  </si>
  <si>
    <t>306768.8</t>
  </si>
  <si>
    <t>309103.6</t>
  </si>
  <si>
    <t>310614.6</t>
  </si>
  <si>
    <t>311941.7</t>
  </si>
  <si>
    <t>312776.9</t>
  </si>
  <si>
    <t>313540.4</t>
  </si>
  <si>
    <t>314634.3</t>
  </si>
  <si>
    <t>314408.5</t>
  </si>
  <si>
    <t>313779.2</t>
  </si>
  <si>
    <t>312267.1</t>
  </si>
  <si>
    <t>310237.9</t>
  </si>
  <si>
    <t>308025.7</t>
  </si>
  <si>
    <t>305845.2</t>
  </si>
  <si>
    <t>303838.8</t>
  </si>
  <si>
    <t>302330.2</t>
  </si>
  <si>
    <t>300764.7</t>
  </si>
  <si>
    <t>299340.4</t>
  </si>
  <si>
    <t>297802.9</t>
  </si>
  <si>
    <t>297959.7</t>
  </si>
  <si>
    <t>298004.2</t>
  </si>
  <si>
    <t>298050.5</t>
  </si>
  <si>
    <t>298095.4</t>
  </si>
  <si>
    <t>298134.1</t>
  </si>
  <si>
    <t>298162.9</t>
  </si>
  <si>
    <t>298181.3</t>
  </si>
  <si>
    <t>298193.4</t>
  </si>
  <si>
    <t>298190.2</t>
  </si>
  <si>
    <t>298183.3</t>
  </si>
  <si>
    <t>298174.2</t>
  </si>
  <si>
    <t>298164.1</t>
  </si>
  <si>
    <t>298154.1</t>
  </si>
  <si>
    <t>298144.8</t>
  </si>
  <si>
    <t>298136.4</t>
  </si>
  <si>
    <t>298128.9</t>
  </si>
  <si>
    <t>298121.8</t>
  </si>
  <si>
    <t>298114.5</t>
  </si>
  <si>
    <t>298106.3</t>
  </si>
  <si>
    <t>298096.6</t>
  </si>
  <si>
    <t>298084.7</t>
  </si>
  <si>
    <t>298070.2</t>
  </si>
  <si>
    <t>z pelnej</t>
  </si>
  <si>
    <t>static U</t>
  </si>
  <si>
    <t>static U_2</t>
  </si>
  <si>
    <t>total U</t>
  </si>
  <si>
    <t>total U_2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</si>
</sst>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5" x14ac:knownFonts="1">
    <font>
      <sz val="11"/>
      <color rgb="FF000000"/>
      <name val="Calibri"/>
      <family val="2"/>
      <charset val="238"/>
    </font>
    <font>
      <sz val="11"/>
      <color rgb="FF000000"/>
      <name val="Calibri"/>
      <family val="2"/>
      <charset val="238"/>
    </font>
    <font>
      <b/>
      <sz val="10"/>
      <color rgb="FF000000"/>
      <name val="Calibri"/>
      <family val="2"/>
      <charset val="238"/>
    </font>
    <font>
      <sz val="10"/>
      <color rgb="FFFFFFFF"/>
      <name val="Calibri"/>
      <family val="2"/>
      <charset val="238"/>
    </font>
    <font>
      <sz val="10"/>
      <color rgb="FFCC0000"/>
      <name val="Calibri"/>
      <family val="2"/>
      <charset val="238"/>
    </font>
    <font>
      <b/>
      <sz val="10"/>
      <color rgb="FFFFFFFF"/>
      <name val="Calibri"/>
      <family val="2"/>
      <charset val="238"/>
    </font>
    <font>
      <i/>
      <sz val="10"/>
      <color rgb="FF808080"/>
      <name val="Calibri"/>
      <family val="2"/>
      <charset val="238"/>
    </font>
    <font>
      <sz val="10"/>
      <color rgb="FF006600"/>
      <name val="Calibri"/>
      <family val="2"/>
      <charset val="238"/>
    </font>
    <font>
      <b/>
      <sz val="24"/>
      <color rgb="FF000000"/>
      <name val="Calibri"/>
      <family val="2"/>
      <charset val="238"/>
    </font>
    <font>
      <sz val="18"/>
      <color rgb="FF000000"/>
      <name val="Calibri"/>
      <family val="2"/>
      <charset val="238"/>
    </font>
    <font>
      <sz val="12"/>
      <color rgb="FF000000"/>
      <name val="Calibri"/>
      <family val="2"/>
      <charset val="238"/>
    </font>
    <font>
      <u/>
      <sz val="10"/>
      <color rgb="FF0000EE"/>
      <name val="Calibri"/>
      <family val="2"/>
      <charset val="238"/>
    </font>
    <font>
      <sz val="10"/>
      <color rgb="FF996600"/>
      <name val="Calibri"/>
      <family val="2"/>
      <charset val="238"/>
    </font>
    <font>
      <sz val="10"/>
      <color rgb="FF333333"/>
      <name val="Calibri"/>
      <family val="2"/>
      <charset val="238"/>
    </font>
    <font>
      <sz val="8"/>
      <name val="Calibri"/>
      <family val="2"/>
      <charset val="238"/>
    </font>
  </fonts>
  <fills count="10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0" fontId="2" fillId="0" borderId="0"/>
    <xf numFmtId="0" fontId="3" fillId="2" borderId="0"/>
    <xf numFmtId="0" fontId="3" fillId="3" borderId="0"/>
    <xf numFmtId="0" fontId="2" fillId="4" borderId="0"/>
    <xf numFmtId="0" fontId="4" fillId="5" borderId="0"/>
    <xf numFmtId="0" fontId="5" fillId="6" borderId="0"/>
    <xf numFmtId="0" fontId="6" fillId="0" borderId="0"/>
    <xf numFmtId="0" fontId="7" fillId="7" borderId="0"/>
    <xf numFmtId="0" fontId="8" fillId="0" borderId="0"/>
    <xf numFmtId="0" fontId="9" fillId="0" borderId="0"/>
    <xf numFmtId="0" fontId="10" fillId="0" borderId="0"/>
    <xf numFmtId="0" fontId="11" fillId="0" borderId="0"/>
    <xf numFmtId="0" fontId="12" fillId="8" borderId="0"/>
    <xf numFmtId="0" fontId="13" fillId="8" borderId="1"/>
    <xf numFmtId="0" fontId="1" fillId="0" borderId="0"/>
    <xf numFmtId="0" fontId="1" fillId="0" borderId="0"/>
    <xf numFmtId="0" fontId="4" fillId="0" borderId="0"/>
  </cellStyleXfs>
  <cellXfs count="21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/>
    <xf numFmtId="0" fontId="0" fillId="0" borderId="0" xfId="0" applyAlignment="1">
      <alignment wrapText="1"/>
    </xf>
    <xf numFmtId="165" fontId="0" fillId="0" borderId="0" xfId="0" applyNumberFormat="1"/>
    <xf numFmtId="0" fontId="0" fillId="0" borderId="2" xfId="0" applyBorder="1" applyAlignment="1">
      <alignment horizontal="center"/>
    </xf>
    <xf numFmtId="0" fontId="0" fillId="0" borderId="2" xfId="0" applyBorder="1"/>
    <xf numFmtId="166" fontId="0" fillId="0" borderId="2" xfId="0" applyNumberFormat="1" applyBorder="1"/>
    <xf numFmtId="2" fontId="0" fillId="0" borderId="2" xfId="0" applyNumberFormat="1" applyBorder="1"/>
    <xf numFmtId="166" fontId="0" fillId="0" borderId="0" xfId="0" applyNumberFormat="1"/>
    <xf numFmtId="2" fontId="0" fillId="0" borderId="0" xfId="0" applyNumberFormat="1"/>
    <xf numFmtId="0" fontId="0" fillId="9" borderId="0" xfId="0" applyFill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wrapText="1"/>
    </xf>
    <xf numFmtId="0" fontId="0" fillId="0" borderId="2" xfId="0" applyBorder="1" applyAlignment="1">
      <alignment horizontal="center"/>
    </xf>
    <xf numFmtId="0" fontId="0" fillId="0" borderId="6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18">
    <cellStyle name="Accent" xfId="1" xr:uid="{F1B9DC8C-A40E-411C-851C-8BA87C6CDEA0}"/>
    <cellStyle name="Accent 1" xfId="2" xr:uid="{ADC80F62-D525-4F3F-A749-0DAA562FC0F4}"/>
    <cellStyle name="Accent 2" xfId="3" xr:uid="{66E084C3-BF64-4FC7-A83F-37066BE0D77B}"/>
    <cellStyle name="Accent 3" xfId="4" xr:uid="{05A6C227-88CE-42E2-8F5A-988119729FEF}"/>
    <cellStyle name="Bad" xfId="5" xr:uid="{E7283573-A8F5-4E04-A29A-C35592828D86}"/>
    <cellStyle name="Error" xfId="6" xr:uid="{505493EB-7455-4C81-9D55-8603E693B148}"/>
    <cellStyle name="Footnote" xfId="7" xr:uid="{62D9F869-6C34-41BF-A8CE-E26384E3FA14}"/>
    <cellStyle name="Good" xfId="8" xr:uid="{7BFAA0F4-6034-4B89-9DED-8BBBD42EDF87}"/>
    <cellStyle name="Heading (user)" xfId="9" xr:uid="{75EB277D-C915-4BEB-B7FF-E1CAE74C58BE}"/>
    <cellStyle name="Heading 1" xfId="10" xr:uid="{0AEDA3B6-8408-4BD5-A6D6-9B444ED1BAD1}"/>
    <cellStyle name="Heading 2" xfId="11" xr:uid="{D9DF28C9-8AB9-4F57-829B-18836BDBBF4D}"/>
    <cellStyle name="Hyperlink" xfId="12" xr:uid="{53AB60C8-699E-4157-BD45-36AB9DC947BE}"/>
    <cellStyle name="Neutral" xfId="13" xr:uid="{A1E8E7D8-9702-4237-8EC8-2E608F196E65}"/>
    <cellStyle name="Normalny" xfId="0" builtinId="0" customBuiltin="1"/>
    <cellStyle name="Note" xfId="14" xr:uid="{6220A105-1234-48D8-91F7-657AF1F5AEBD}"/>
    <cellStyle name="Status" xfId="15" xr:uid="{40BDA6D5-CDC2-4F74-9617-26431C767EE2}"/>
    <cellStyle name="Text" xfId="16" xr:uid="{09C13D57-8BC9-4C83-ABF8-73615767C877}"/>
    <cellStyle name="Warning" xfId="17" xr:uid="{60784787-73F0-43B7-A5AC-4289D52436C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variable_inlet!$A$1</c:f>
              <c:strCache>
                <c:ptCount val="1"/>
                <c:pt idx="0">
                  <c:v>0 kierownic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variable_inlet!$D$5:$D$200</c:f>
              <c:numCache>
                <c:formatCode>General</c:formatCode>
                <c:ptCount val="196"/>
                <c:pt idx="0">
                  <c:v>0</c:v>
                </c:pt>
                <c:pt idx="1">
                  <c:v>2.7779999999999998E-4</c:v>
                </c:pt>
                <c:pt idx="2">
                  <c:v>5.5559999999999995E-4</c:v>
                </c:pt>
                <c:pt idx="3">
                  <c:v>8.3339989999999995E-4</c:v>
                </c:pt>
                <c:pt idx="4">
                  <c:v>1.1111999999999999E-3</c:v>
                </c:pt>
                <c:pt idx="5">
                  <c:v>1.389E-3</c:v>
                </c:pt>
                <c:pt idx="6">
                  <c:v>1.6668E-3</c:v>
                </c:pt>
                <c:pt idx="7">
                  <c:v>1.9446000000000001E-3</c:v>
                </c:pt>
                <c:pt idx="8">
                  <c:v>2.2223999999999998E-3</c:v>
                </c:pt>
                <c:pt idx="9">
                  <c:v>2.5002000000000002E-3</c:v>
                </c:pt>
                <c:pt idx="10">
                  <c:v>2.7780000000000001E-3</c:v>
                </c:pt>
                <c:pt idx="11">
                  <c:v>3.0558E-3</c:v>
                </c:pt>
                <c:pt idx="12">
                  <c:v>3.3335999999999999E-3</c:v>
                </c:pt>
                <c:pt idx="13">
                  <c:v>3.6113999999999999E-3</c:v>
                </c:pt>
                <c:pt idx="14">
                  <c:v>3.8892000000000002E-3</c:v>
                </c:pt>
                <c:pt idx="15">
                  <c:v>4.1669999999999997E-3</c:v>
                </c:pt>
                <c:pt idx="16">
                  <c:v>4.4447999999999996E-3</c:v>
                </c:pt>
                <c:pt idx="17">
                  <c:v>4.7226000000000004E-3</c:v>
                </c:pt>
                <c:pt idx="18">
                  <c:v>5.0004000000000003E-3</c:v>
                </c:pt>
                <c:pt idx="19">
                  <c:v>5.2782000000000003E-3</c:v>
                </c:pt>
                <c:pt idx="20">
                  <c:v>5.5560000000000002E-3</c:v>
                </c:pt>
                <c:pt idx="21">
                  <c:v>5.8338000000000001E-3</c:v>
                </c:pt>
                <c:pt idx="22">
                  <c:v>6.1116E-3</c:v>
                </c:pt>
                <c:pt idx="23">
                  <c:v>6.3893999999999999E-3</c:v>
                </c:pt>
                <c:pt idx="24">
                  <c:v>6.6671999999999999E-3</c:v>
                </c:pt>
                <c:pt idx="25">
                  <c:v>6.9449999999999998E-3</c:v>
                </c:pt>
                <c:pt idx="26">
                  <c:v>7.2227999999999997E-3</c:v>
                </c:pt>
                <c:pt idx="27">
                  <c:v>7.5005999999999996E-3</c:v>
                </c:pt>
                <c:pt idx="28">
                  <c:v>7.7784000000000004E-3</c:v>
                </c:pt>
                <c:pt idx="29">
                  <c:v>8.0561999999999995E-3</c:v>
                </c:pt>
                <c:pt idx="30">
                  <c:v>8.3339999999999994E-3</c:v>
                </c:pt>
                <c:pt idx="31">
                  <c:v>8.6117999999999993E-3</c:v>
                </c:pt>
                <c:pt idx="32">
                  <c:v>8.8895999999999992E-3</c:v>
                </c:pt>
                <c:pt idx="33">
                  <c:v>9.1673989999999997E-3</c:v>
                </c:pt>
                <c:pt idx="34">
                  <c:v>9.4452000000000008E-3</c:v>
                </c:pt>
                <c:pt idx="35">
                  <c:v>9.7229989999999995E-3</c:v>
                </c:pt>
                <c:pt idx="36">
                  <c:v>1.0000800000000001E-2</c:v>
                </c:pt>
                <c:pt idx="37">
                  <c:v>1.0278600000000001E-2</c:v>
                </c:pt>
                <c:pt idx="38">
                  <c:v>1.0556400000000001E-2</c:v>
                </c:pt>
                <c:pt idx="39">
                  <c:v>1.08342E-2</c:v>
                </c:pt>
                <c:pt idx="40">
                  <c:v>1.1112E-2</c:v>
                </c:pt>
                <c:pt idx="41">
                  <c:v>1.13898E-2</c:v>
                </c:pt>
                <c:pt idx="42">
                  <c:v>1.16676E-2</c:v>
                </c:pt>
                <c:pt idx="43">
                  <c:v>1.19454E-2</c:v>
                </c:pt>
                <c:pt idx="44">
                  <c:v>1.22232E-2</c:v>
                </c:pt>
                <c:pt idx="45">
                  <c:v>1.2501E-2</c:v>
                </c:pt>
                <c:pt idx="46">
                  <c:v>1.27788E-2</c:v>
                </c:pt>
                <c:pt idx="47">
                  <c:v>1.30566E-2</c:v>
                </c:pt>
                <c:pt idx="48">
                  <c:v>1.33344E-2</c:v>
                </c:pt>
                <c:pt idx="49">
                  <c:v>1.36122E-2</c:v>
                </c:pt>
                <c:pt idx="50">
                  <c:v>1.389E-2</c:v>
                </c:pt>
                <c:pt idx="51">
                  <c:v>1.4167799999999999E-2</c:v>
                </c:pt>
                <c:pt idx="52">
                  <c:v>1.4445599999999999E-2</c:v>
                </c:pt>
                <c:pt idx="53">
                  <c:v>1.4723399999999999E-2</c:v>
                </c:pt>
                <c:pt idx="54">
                  <c:v>1.5001199999999999E-2</c:v>
                </c:pt>
                <c:pt idx="55">
                  <c:v>1.5278999999999999E-2</c:v>
                </c:pt>
                <c:pt idx="56">
                  <c:v>1.5556800000000001E-2</c:v>
                </c:pt>
                <c:pt idx="57">
                  <c:v>1.5834600000000001E-2</c:v>
                </c:pt>
                <c:pt idx="58">
                  <c:v>1.6112399999999999E-2</c:v>
                </c:pt>
                <c:pt idx="59">
                  <c:v>1.6390200000000001E-2</c:v>
                </c:pt>
                <c:pt idx="60">
                  <c:v>1.6667999999999999E-2</c:v>
                </c:pt>
                <c:pt idx="61">
                  <c:v>1.69458E-2</c:v>
                </c:pt>
                <c:pt idx="62">
                  <c:v>1.7223599999999999E-2</c:v>
                </c:pt>
                <c:pt idx="63">
                  <c:v>1.75014E-2</c:v>
                </c:pt>
                <c:pt idx="64">
                  <c:v>1.7779199999999998E-2</c:v>
                </c:pt>
                <c:pt idx="65">
                  <c:v>1.8057E-2</c:v>
                </c:pt>
                <c:pt idx="66">
                  <c:v>1.8334799999999998E-2</c:v>
                </c:pt>
                <c:pt idx="67">
                  <c:v>1.86126E-2</c:v>
                </c:pt>
                <c:pt idx="68">
                  <c:v>1.8890400000000002E-2</c:v>
                </c:pt>
                <c:pt idx="69">
                  <c:v>1.91682E-2</c:v>
                </c:pt>
                <c:pt idx="70">
                  <c:v>1.9446000000000001E-2</c:v>
                </c:pt>
                <c:pt idx="71">
                  <c:v>1.97238E-2</c:v>
                </c:pt>
                <c:pt idx="72">
                  <c:v>2.0001600000000001E-2</c:v>
                </c:pt>
                <c:pt idx="73">
                  <c:v>2.02794E-2</c:v>
                </c:pt>
                <c:pt idx="74">
                  <c:v>2.0557200000000001E-2</c:v>
                </c:pt>
                <c:pt idx="75">
                  <c:v>2.0834999999999999E-2</c:v>
                </c:pt>
                <c:pt idx="76">
                  <c:v>2.1112800000000001E-2</c:v>
                </c:pt>
                <c:pt idx="77">
                  <c:v>2.1390599999999999E-2</c:v>
                </c:pt>
                <c:pt idx="78">
                  <c:v>2.1668400000000001E-2</c:v>
                </c:pt>
                <c:pt idx="79">
                  <c:v>2.1946199999999999E-2</c:v>
                </c:pt>
                <c:pt idx="80">
                  <c:v>2.2224000000000001E-2</c:v>
                </c:pt>
                <c:pt idx="81">
                  <c:v>2.2501799999999999E-2</c:v>
                </c:pt>
                <c:pt idx="82">
                  <c:v>2.2779600000000001E-2</c:v>
                </c:pt>
                <c:pt idx="83">
                  <c:v>2.3057399999999999E-2</c:v>
                </c:pt>
                <c:pt idx="84">
                  <c:v>2.33352E-2</c:v>
                </c:pt>
                <c:pt idx="85">
                  <c:v>2.3612999999999999E-2</c:v>
                </c:pt>
                <c:pt idx="86">
                  <c:v>2.38908E-2</c:v>
                </c:pt>
                <c:pt idx="87">
                  <c:v>2.4168599999999998E-2</c:v>
                </c:pt>
                <c:pt idx="88">
                  <c:v>2.44464E-2</c:v>
                </c:pt>
                <c:pt idx="89">
                  <c:v>2.4724200000000002E-2</c:v>
                </c:pt>
                <c:pt idx="90">
                  <c:v>2.5002E-2</c:v>
                </c:pt>
                <c:pt idx="91">
                  <c:v>2.5279800000000002E-2</c:v>
                </c:pt>
                <c:pt idx="92">
                  <c:v>2.55576E-2</c:v>
                </c:pt>
                <c:pt idx="93">
                  <c:v>2.5835400000000001E-2</c:v>
                </c:pt>
                <c:pt idx="94">
                  <c:v>2.61132E-2</c:v>
                </c:pt>
                <c:pt idx="95">
                  <c:v>2.6391000000000001E-2</c:v>
                </c:pt>
                <c:pt idx="96">
                  <c:v>2.6668799999999999E-2</c:v>
                </c:pt>
                <c:pt idx="97">
                  <c:v>2.6946600000000001E-2</c:v>
                </c:pt>
                <c:pt idx="98">
                  <c:v>2.7224399999999999E-2</c:v>
                </c:pt>
                <c:pt idx="99">
                  <c:v>2.7502200000000001E-2</c:v>
                </c:pt>
                <c:pt idx="100">
                  <c:v>2.7779999999999999E-2</c:v>
                </c:pt>
                <c:pt idx="101">
                  <c:v>2.8057800000000001E-2</c:v>
                </c:pt>
                <c:pt idx="102">
                  <c:v>2.8335599999999999E-2</c:v>
                </c:pt>
                <c:pt idx="103">
                  <c:v>2.8613400000000001E-2</c:v>
                </c:pt>
                <c:pt idx="104">
                  <c:v>2.8891199999999999E-2</c:v>
                </c:pt>
                <c:pt idx="105">
                  <c:v>2.9169E-2</c:v>
                </c:pt>
                <c:pt idx="106">
                  <c:v>2.9446799999999999E-2</c:v>
                </c:pt>
                <c:pt idx="107">
                  <c:v>2.97246E-2</c:v>
                </c:pt>
                <c:pt idx="108">
                  <c:v>3.0002399999999999E-2</c:v>
                </c:pt>
                <c:pt idx="109">
                  <c:v>3.02802E-2</c:v>
                </c:pt>
                <c:pt idx="110">
                  <c:v>3.0557999999999998E-2</c:v>
                </c:pt>
                <c:pt idx="111">
                  <c:v>3.08358E-2</c:v>
                </c:pt>
                <c:pt idx="112">
                  <c:v>3.1113600000000002E-2</c:v>
                </c:pt>
                <c:pt idx="113">
                  <c:v>3.13914E-2</c:v>
                </c:pt>
                <c:pt idx="114">
                  <c:v>3.1669200000000002E-2</c:v>
                </c:pt>
                <c:pt idx="115">
                  <c:v>3.1947000000000003E-2</c:v>
                </c:pt>
                <c:pt idx="116">
                  <c:v>3.2224799999999998E-2</c:v>
                </c:pt>
                <c:pt idx="117">
                  <c:v>3.25026E-2</c:v>
                </c:pt>
                <c:pt idx="118">
                  <c:v>3.2780400000000001E-2</c:v>
                </c:pt>
                <c:pt idx="119">
                  <c:v>3.3058200000000003E-2</c:v>
                </c:pt>
                <c:pt idx="120">
                  <c:v>3.3335999999999998E-2</c:v>
                </c:pt>
                <c:pt idx="121">
                  <c:v>3.3613799999999999E-2</c:v>
                </c:pt>
                <c:pt idx="122">
                  <c:v>3.3891600000000001E-2</c:v>
                </c:pt>
                <c:pt idx="123">
                  <c:v>3.4169400000000003E-2</c:v>
                </c:pt>
                <c:pt idx="124">
                  <c:v>3.4447199999999997E-2</c:v>
                </c:pt>
                <c:pt idx="125">
                  <c:v>3.4724999999999999E-2</c:v>
                </c:pt>
                <c:pt idx="126">
                  <c:v>3.5002800000000001E-2</c:v>
                </c:pt>
                <c:pt idx="127">
                  <c:v>3.5280600000000002E-2</c:v>
                </c:pt>
                <c:pt idx="128">
                  <c:v>3.5558399999999997E-2</c:v>
                </c:pt>
                <c:pt idx="129">
                  <c:v>3.5836199999999999E-2</c:v>
                </c:pt>
                <c:pt idx="130">
                  <c:v>3.6114E-2</c:v>
                </c:pt>
                <c:pt idx="131">
                  <c:v>3.6391800000000002E-2</c:v>
                </c:pt>
                <c:pt idx="132">
                  <c:v>3.6669599999999997E-2</c:v>
                </c:pt>
                <c:pt idx="133">
                  <c:v>3.6947399999999998E-2</c:v>
                </c:pt>
                <c:pt idx="134">
                  <c:v>3.72252E-2</c:v>
                </c:pt>
                <c:pt idx="135">
                  <c:v>3.7503000000000002E-2</c:v>
                </c:pt>
                <c:pt idx="136">
                  <c:v>3.7780800000000003E-2</c:v>
                </c:pt>
                <c:pt idx="137">
                  <c:v>3.8058599999999998E-2</c:v>
                </c:pt>
                <c:pt idx="138">
                  <c:v>3.83364E-2</c:v>
                </c:pt>
                <c:pt idx="139">
                  <c:v>3.8614200000000001E-2</c:v>
                </c:pt>
                <c:pt idx="140">
                  <c:v>3.8892000000000003E-2</c:v>
                </c:pt>
                <c:pt idx="141">
                  <c:v>3.9169799999999998E-2</c:v>
                </c:pt>
                <c:pt idx="142">
                  <c:v>3.9447599999999999E-2</c:v>
                </c:pt>
                <c:pt idx="143">
                  <c:v>3.9725400000000001E-2</c:v>
                </c:pt>
                <c:pt idx="144">
                  <c:v>4.0003200000000003E-2</c:v>
                </c:pt>
                <c:pt idx="145">
                  <c:v>4.0280999999999997E-2</c:v>
                </c:pt>
                <c:pt idx="146">
                  <c:v>4.0558799999999999E-2</c:v>
                </c:pt>
                <c:pt idx="147">
                  <c:v>4.0836600000000001E-2</c:v>
                </c:pt>
                <c:pt idx="148">
                  <c:v>4.1114400000000002E-2</c:v>
                </c:pt>
                <c:pt idx="149">
                  <c:v>4.1392199999999997E-2</c:v>
                </c:pt>
                <c:pt idx="150">
                  <c:v>4.1669999999999999E-2</c:v>
                </c:pt>
                <c:pt idx="151">
                  <c:v>4.19478E-2</c:v>
                </c:pt>
                <c:pt idx="152">
                  <c:v>4.2225600000000002E-2</c:v>
                </c:pt>
                <c:pt idx="153">
                  <c:v>4.2503399999999997E-2</c:v>
                </c:pt>
                <c:pt idx="154">
                  <c:v>4.2781199999999998E-2</c:v>
                </c:pt>
                <c:pt idx="155">
                  <c:v>4.3059E-2</c:v>
                </c:pt>
                <c:pt idx="156">
                  <c:v>4.3336800000000002E-2</c:v>
                </c:pt>
                <c:pt idx="157">
                  <c:v>4.3614600000000003E-2</c:v>
                </c:pt>
                <c:pt idx="158">
                  <c:v>4.3892399999999998E-2</c:v>
                </c:pt>
                <c:pt idx="159">
                  <c:v>4.41702E-2</c:v>
                </c:pt>
                <c:pt idx="160">
                  <c:v>4.4448000000000001E-2</c:v>
                </c:pt>
                <c:pt idx="161">
                  <c:v>4.4725800000000003E-2</c:v>
                </c:pt>
                <c:pt idx="162">
                  <c:v>4.5003599999999998E-2</c:v>
                </c:pt>
                <c:pt idx="163">
                  <c:v>4.5281399999999999E-2</c:v>
                </c:pt>
                <c:pt idx="164">
                  <c:v>4.5559200000000001E-2</c:v>
                </c:pt>
                <c:pt idx="165">
                  <c:v>4.5837000000000003E-2</c:v>
                </c:pt>
                <c:pt idx="166">
                  <c:v>4.6114799999999997E-2</c:v>
                </c:pt>
                <c:pt idx="167">
                  <c:v>4.6392599999999999E-2</c:v>
                </c:pt>
                <c:pt idx="168">
                  <c:v>4.6670400000000001E-2</c:v>
                </c:pt>
                <c:pt idx="169">
                  <c:v>4.6948200000000002E-2</c:v>
                </c:pt>
                <c:pt idx="170">
                  <c:v>4.7225999999999997E-2</c:v>
                </c:pt>
                <c:pt idx="171">
                  <c:v>4.7503799999999999E-2</c:v>
                </c:pt>
                <c:pt idx="172">
                  <c:v>4.77816E-2</c:v>
                </c:pt>
                <c:pt idx="173">
                  <c:v>4.8059400000000002E-2</c:v>
                </c:pt>
                <c:pt idx="174">
                  <c:v>4.8337199999999997E-2</c:v>
                </c:pt>
                <c:pt idx="175">
                  <c:v>4.8614999999999998E-2</c:v>
                </c:pt>
                <c:pt idx="176">
                  <c:v>4.88928E-2</c:v>
                </c:pt>
                <c:pt idx="177">
                  <c:v>4.9170600000000002E-2</c:v>
                </c:pt>
                <c:pt idx="178">
                  <c:v>4.9448400000000003E-2</c:v>
                </c:pt>
                <c:pt idx="179">
                  <c:v>4.9726199999999998E-2</c:v>
                </c:pt>
                <c:pt idx="180">
                  <c:v>5.0004E-2</c:v>
                </c:pt>
                <c:pt idx="181">
                  <c:v>5.0281800000000001E-2</c:v>
                </c:pt>
                <c:pt idx="182">
                  <c:v>5.0559600000000003E-2</c:v>
                </c:pt>
                <c:pt idx="183">
                  <c:v>5.0837399999999998E-2</c:v>
                </c:pt>
                <c:pt idx="184">
                  <c:v>5.11152E-2</c:v>
                </c:pt>
                <c:pt idx="185">
                  <c:v>5.1393000000000001E-2</c:v>
                </c:pt>
                <c:pt idx="186">
                  <c:v>5.1670800000000003E-2</c:v>
                </c:pt>
                <c:pt idx="187">
                  <c:v>5.1948599999999998E-2</c:v>
                </c:pt>
                <c:pt idx="188">
                  <c:v>5.2226399999999999E-2</c:v>
                </c:pt>
                <c:pt idx="189">
                  <c:v>5.2504200000000001E-2</c:v>
                </c:pt>
                <c:pt idx="190">
                  <c:v>5.2782000000000003E-2</c:v>
                </c:pt>
                <c:pt idx="191">
                  <c:v>5.3059799999999997E-2</c:v>
                </c:pt>
                <c:pt idx="192">
                  <c:v>5.3337599999999999E-2</c:v>
                </c:pt>
                <c:pt idx="193">
                  <c:v>5.3615400000000001E-2</c:v>
                </c:pt>
                <c:pt idx="194">
                  <c:v>5.3893200000000002E-2</c:v>
                </c:pt>
                <c:pt idx="195">
                  <c:v>5.4170999999999997E-2</c:v>
                </c:pt>
              </c:numCache>
            </c:numRef>
          </c:xVal>
          <c:yVal>
            <c:numRef>
              <c:f>variable_inlet!$B$5:$B$200</c:f>
              <c:numCache>
                <c:formatCode>General</c:formatCode>
                <c:ptCount val="196"/>
                <c:pt idx="0">
                  <c:v>299999.7</c:v>
                </c:pt>
                <c:pt idx="1">
                  <c:v>299999.7</c:v>
                </c:pt>
                <c:pt idx="2">
                  <c:v>300407.7</c:v>
                </c:pt>
                <c:pt idx="3">
                  <c:v>301360.7</c:v>
                </c:pt>
                <c:pt idx="4">
                  <c:v>302571.8</c:v>
                </c:pt>
                <c:pt idx="5">
                  <c:v>303630.5</c:v>
                </c:pt>
                <c:pt idx="6">
                  <c:v>304456.2</c:v>
                </c:pt>
                <c:pt idx="7">
                  <c:v>305429.5</c:v>
                </c:pt>
                <c:pt idx="8">
                  <c:v>307098.5</c:v>
                </c:pt>
                <c:pt idx="9">
                  <c:v>307621.5</c:v>
                </c:pt>
                <c:pt idx="10">
                  <c:v>308597.09999999998</c:v>
                </c:pt>
                <c:pt idx="11">
                  <c:v>309610.59999999998</c:v>
                </c:pt>
                <c:pt idx="12">
                  <c:v>310467.8</c:v>
                </c:pt>
                <c:pt idx="13">
                  <c:v>311007.8</c:v>
                </c:pt>
                <c:pt idx="14">
                  <c:v>311535.2</c:v>
                </c:pt>
                <c:pt idx="15">
                  <c:v>312045.5</c:v>
                </c:pt>
                <c:pt idx="16">
                  <c:v>312366.2</c:v>
                </c:pt>
                <c:pt idx="17">
                  <c:v>312273.09999999998</c:v>
                </c:pt>
                <c:pt idx="18">
                  <c:v>311906.40000000002</c:v>
                </c:pt>
                <c:pt idx="19">
                  <c:v>310940.59999999998</c:v>
                </c:pt>
                <c:pt idx="20">
                  <c:v>309646.3</c:v>
                </c:pt>
                <c:pt idx="21">
                  <c:v>308207.5</c:v>
                </c:pt>
                <c:pt idx="22">
                  <c:v>306761</c:v>
                </c:pt>
                <c:pt idx="23">
                  <c:v>305408.7</c:v>
                </c:pt>
                <c:pt idx="24">
                  <c:v>304389.90000000002</c:v>
                </c:pt>
                <c:pt idx="25">
                  <c:v>303284.59999999998</c:v>
                </c:pt>
                <c:pt idx="26">
                  <c:v>302241.2</c:v>
                </c:pt>
                <c:pt idx="27">
                  <c:v>301305.8</c:v>
                </c:pt>
                <c:pt idx="28">
                  <c:v>301026.3</c:v>
                </c:pt>
                <c:pt idx="29">
                  <c:v>301210.2</c:v>
                </c:pt>
                <c:pt idx="30">
                  <c:v>301288.3</c:v>
                </c:pt>
                <c:pt idx="31">
                  <c:v>301369.59999999998</c:v>
                </c:pt>
                <c:pt idx="32">
                  <c:v>301449.7</c:v>
                </c:pt>
                <c:pt idx="33">
                  <c:v>301524.5</c:v>
                </c:pt>
                <c:pt idx="34">
                  <c:v>301591.3</c:v>
                </c:pt>
                <c:pt idx="35">
                  <c:v>301649.59999999998</c:v>
                </c:pt>
                <c:pt idx="36">
                  <c:v>301698.7</c:v>
                </c:pt>
                <c:pt idx="37">
                  <c:v>301738</c:v>
                </c:pt>
                <c:pt idx="38">
                  <c:v>301767.2</c:v>
                </c:pt>
                <c:pt idx="39">
                  <c:v>301787.2</c:v>
                </c:pt>
                <c:pt idx="40">
                  <c:v>301799</c:v>
                </c:pt>
                <c:pt idx="41">
                  <c:v>301804</c:v>
                </c:pt>
                <c:pt idx="42">
                  <c:v>301803.8</c:v>
                </c:pt>
                <c:pt idx="43">
                  <c:v>301800</c:v>
                </c:pt>
                <c:pt idx="44">
                  <c:v>301794.3</c:v>
                </c:pt>
                <c:pt idx="45">
                  <c:v>301788.79999999999</c:v>
                </c:pt>
                <c:pt idx="46">
                  <c:v>301785.8</c:v>
                </c:pt>
                <c:pt idx="47">
                  <c:v>301788.09999999998</c:v>
                </c:pt>
                <c:pt idx="48">
                  <c:v>301799.3</c:v>
                </c:pt>
                <c:pt idx="49">
                  <c:v>301823.8</c:v>
                </c:pt>
                <c:pt idx="50">
                  <c:v>301865.8</c:v>
                </c:pt>
                <c:pt idx="51">
                  <c:v>301928.40000000002</c:v>
                </c:pt>
                <c:pt idx="52">
                  <c:v>302012.09999999998</c:v>
                </c:pt>
                <c:pt idx="53">
                  <c:v>302114.3</c:v>
                </c:pt>
                <c:pt idx="54">
                  <c:v>302230.09999999998</c:v>
                </c:pt>
                <c:pt idx="55">
                  <c:v>302353</c:v>
                </c:pt>
                <c:pt idx="56">
                  <c:v>302475.8</c:v>
                </c:pt>
                <c:pt idx="57">
                  <c:v>302590.3</c:v>
                </c:pt>
                <c:pt idx="58">
                  <c:v>302690.5</c:v>
                </c:pt>
                <c:pt idx="59">
                  <c:v>302772.2</c:v>
                </c:pt>
                <c:pt idx="60">
                  <c:v>302832.40000000002</c:v>
                </c:pt>
                <c:pt idx="61">
                  <c:v>302870.5</c:v>
                </c:pt>
                <c:pt idx="62">
                  <c:v>302888.40000000002</c:v>
                </c:pt>
                <c:pt idx="63">
                  <c:v>302888.5</c:v>
                </c:pt>
                <c:pt idx="64">
                  <c:v>302874.09999999998</c:v>
                </c:pt>
                <c:pt idx="65">
                  <c:v>302848.5</c:v>
                </c:pt>
                <c:pt idx="66">
                  <c:v>302815.2</c:v>
                </c:pt>
                <c:pt idx="67">
                  <c:v>302777.7</c:v>
                </c:pt>
                <c:pt idx="68">
                  <c:v>302739.5</c:v>
                </c:pt>
                <c:pt idx="69">
                  <c:v>302704.5</c:v>
                </c:pt>
                <c:pt idx="70">
                  <c:v>302680.3</c:v>
                </c:pt>
                <c:pt idx="71">
                  <c:v>302669.5</c:v>
                </c:pt>
                <c:pt idx="72">
                  <c:v>302684.3</c:v>
                </c:pt>
                <c:pt idx="73">
                  <c:v>303161.8</c:v>
                </c:pt>
                <c:pt idx="74">
                  <c:v>304235</c:v>
                </c:pt>
                <c:pt idx="75">
                  <c:v>305615.7</c:v>
                </c:pt>
                <c:pt idx="76">
                  <c:v>306851.59999999998</c:v>
                </c:pt>
                <c:pt idx="77">
                  <c:v>307791.90000000002</c:v>
                </c:pt>
                <c:pt idx="78">
                  <c:v>308818.3</c:v>
                </c:pt>
                <c:pt idx="79">
                  <c:v>309647.90000000002</c:v>
                </c:pt>
                <c:pt idx="80">
                  <c:v>310234.5</c:v>
                </c:pt>
                <c:pt idx="81">
                  <c:v>310719.3</c:v>
                </c:pt>
                <c:pt idx="82">
                  <c:v>311405.40000000002</c:v>
                </c:pt>
                <c:pt idx="83">
                  <c:v>312123.3</c:v>
                </c:pt>
                <c:pt idx="84">
                  <c:v>312685.3</c:v>
                </c:pt>
                <c:pt idx="85">
                  <c:v>312920.3</c:v>
                </c:pt>
                <c:pt idx="86">
                  <c:v>313151.59999999998</c:v>
                </c:pt>
                <c:pt idx="87">
                  <c:v>313357.7</c:v>
                </c:pt>
                <c:pt idx="88">
                  <c:v>313335.09999999998</c:v>
                </c:pt>
                <c:pt idx="89">
                  <c:v>312869.3</c:v>
                </c:pt>
                <c:pt idx="90">
                  <c:v>312170.8</c:v>
                </c:pt>
                <c:pt idx="91">
                  <c:v>310953.59999999998</c:v>
                </c:pt>
                <c:pt idx="92">
                  <c:v>309425.09999999998</c:v>
                </c:pt>
                <c:pt idx="93">
                  <c:v>307736.3</c:v>
                </c:pt>
                <c:pt idx="94">
                  <c:v>306034</c:v>
                </c:pt>
                <c:pt idx="95">
                  <c:v>304452.09999999998</c:v>
                </c:pt>
                <c:pt idx="96">
                  <c:v>303234.8</c:v>
                </c:pt>
                <c:pt idx="97">
                  <c:v>301942.5</c:v>
                </c:pt>
                <c:pt idx="98">
                  <c:v>300733.90000000002</c:v>
                </c:pt>
                <c:pt idx="99">
                  <c:v>299655</c:v>
                </c:pt>
                <c:pt idx="100">
                  <c:v>299270.59999999998</c:v>
                </c:pt>
                <c:pt idx="101">
                  <c:v>299369.90000000002</c:v>
                </c:pt>
                <c:pt idx="102">
                  <c:v>299364.3</c:v>
                </c:pt>
                <c:pt idx="103">
                  <c:v>299358.59999999998</c:v>
                </c:pt>
                <c:pt idx="104">
                  <c:v>299347.09999999998</c:v>
                </c:pt>
                <c:pt idx="105">
                  <c:v>299327.5</c:v>
                </c:pt>
                <c:pt idx="106">
                  <c:v>299300.7</c:v>
                </c:pt>
                <c:pt idx="107">
                  <c:v>299268.2</c:v>
                </c:pt>
                <c:pt idx="108">
                  <c:v>299231.3</c:v>
                </c:pt>
                <c:pt idx="109">
                  <c:v>299190.59999999998</c:v>
                </c:pt>
                <c:pt idx="110">
                  <c:v>299147.8</c:v>
                </c:pt>
                <c:pt idx="111">
                  <c:v>299104.40000000002</c:v>
                </c:pt>
                <c:pt idx="112">
                  <c:v>299061.5</c:v>
                </c:pt>
                <c:pt idx="113">
                  <c:v>299019.7</c:v>
                </c:pt>
                <c:pt idx="114">
                  <c:v>298979.7</c:v>
                </c:pt>
                <c:pt idx="115">
                  <c:v>298941.7</c:v>
                </c:pt>
                <c:pt idx="116">
                  <c:v>298905.90000000002</c:v>
                </c:pt>
                <c:pt idx="117">
                  <c:v>298872.8</c:v>
                </c:pt>
                <c:pt idx="118">
                  <c:v>298842.90000000002</c:v>
                </c:pt>
                <c:pt idx="119">
                  <c:v>298817.40000000002</c:v>
                </c:pt>
                <c:pt idx="120">
                  <c:v>298798.09999999998</c:v>
                </c:pt>
                <c:pt idx="121">
                  <c:v>298788.09999999998</c:v>
                </c:pt>
                <c:pt idx="122">
                  <c:v>298792.7</c:v>
                </c:pt>
                <c:pt idx="123">
                  <c:v>298819.40000000002</c:v>
                </c:pt>
                <c:pt idx="124">
                  <c:v>298873.8</c:v>
                </c:pt>
                <c:pt idx="125">
                  <c:v>298955.2</c:v>
                </c:pt>
                <c:pt idx="126">
                  <c:v>299057.2</c:v>
                </c:pt>
                <c:pt idx="127">
                  <c:v>299169.40000000002</c:v>
                </c:pt>
                <c:pt idx="128">
                  <c:v>299280.5</c:v>
                </c:pt>
                <c:pt idx="129">
                  <c:v>299383.09999999998</c:v>
                </c:pt>
                <c:pt idx="130">
                  <c:v>299472.7</c:v>
                </c:pt>
                <c:pt idx="131">
                  <c:v>299548</c:v>
                </c:pt>
                <c:pt idx="132">
                  <c:v>299608.2</c:v>
                </c:pt>
                <c:pt idx="133">
                  <c:v>299652.8</c:v>
                </c:pt>
                <c:pt idx="134">
                  <c:v>299682.09999999998</c:v>
                </c:pt>
                <c:pt idx="135">
                  <c:v>299697.8</c:v>
                </c:pt>
                <c:pt idx="136">
                  <c:v>299702.8</c:v>
                </c:pt>
                <c:pt idx="137">
                  <c:v>299700.59999999998</c:v>
                </c:pt>
                <c:pt idx="138">
                  <c:v>299696.3</c:v>
                </c:pt>
                <c:pt idx="139">
                  <c:v>299696.7</c:v>
                </c:pt>
                <c:pt idx="140">
                  <c:v>299710.7</c:v>
                </c:pt>
                <c:pt idx="141">
                  <c:v>299751.5</c:v>
                </c:pt>
                <c:pt idx="142">
                  <c:v>299833.8</c:v>
                </c:pt>
                <c:pt idx="143">
                  <c:v>299966.5</c:v>
                </c:pt>
                <c:pt idx="144">
                  <c:v>300121.59999999998</c:v>
                </c:pt>
                <c:pt idx="145">
                  <c:v>300763.2</c:v>
                </c:pt>
                <c:pt idx="146">
                  <c:v>301936.59999999998</c:v>
                </c:pt>
                <c:pt idx="147">
                  <c:v>303339.5</c:v>
                </c:pt>
                <c:pt idx="148">
                  <c:v>304517.40000000002</c:v>
                </c:pt>
                <c:pt idx="149">
                  <c:v>305369.8</c:v>
                </c:pt>
                <c:pt idx="150">
                  <c:v>306293.3</c:v>
                </c:pt>
                <c:pt idx="151">
                  <c:v>307016.3</c:v>
                </c:pt>
                <c:pt idx="152">
                  <c:v>307485.59999999998</c:v>
                </c:pt>
                <c:pt idx="153">
                  <c:v>307892.59999999998</c:v>
                </c:pt>
                <c:pt idx="154">
                  <c:v>308573.5</c:v>
                </c:pt>
                <c:pt idx="155">
                  <c:v>309348.5</c:v>
                </c:pt>
                <c:pt idx="156">
                  <c:v>310023.90000000002</c:v>
                </c:pt>
                <c:pt idx="157">
                  <c:v>310404.59999999998</c:v>
                </c:pt>
                <c:pt idx="158">
                  <c:v>310786.7</c:v>
                </c:pt>
                <c:pt idx="159">
                  <c:v>311147.5</c:v>
                </c:pt>
                <c:pt idx="160">
                  <c:v>311308.2</c:v>
                </c:pt>
                <c:pt idx="161">
                  <c:v>311071</c:v>
                </c:pt>
                <c:pt idx="162">
                  <c:v>310590.90000000002</c:v>
                </c:pt>
                <c:pt idx="163">
                  <c:v>309517.7</c:v>
                </c:pt>
                <c:pt idx="164">
                  <c:v>308101.90000000002</c:v>
                </c:pt>
                <c:pt idx="165">
                  <c:v>306547.90000000002</c:v>
                </c:pt>
                <c:pt idx="166">
                  <c:v>304987</c:v>
                </c:pt>
                <c:pt idx="167">
                  <c:v>303512.8</c:v>
                </c:pt>
                <c:pt idx="168">
                  <c:v>302369.40000000002</c:v>
                </c:pt>
                <c:pt idx="169">
                  <c:v>301140.09999999998</c:v>
                </c:pt>
                <c:pt idx="170">
                  <c:v>299984.59999999998</c:v>
                </c:pt>
                <c:pt idx="171">
                  <c:v>298949.7</c:v>
                </c:pt>
                <c:pt idx="172">
                  <c:v>298590.59999999998</c:v>
                </c:pt>
                <c:pt idx="173">
                  <c:v>298709.40000000002</c:v>
                </c:pt>
                <c:pt idx="174">
                  <c:v>298723.5</c:v>
                </c:pt>
                <c:pt idx="175">
                  <c:v>298739.8</c:v>
                </c:pt>
                <c:pt idx="176">
                  <c:v>298752.5</c:v>
                </c:pt>
                <c:pt idx="177">
                  <c:v>298758.3</c:v>
                </c:pt>
                <c:pt idx="178">
                  <c:v>298756.8</c:v>
                </c:pt>
                <c:pt idx="179">
                  <c:v>298748.59999999998</c:v>
                </c:pt>
                <c:pt idx="180">
                  <c:v>298734.8</c:v>
                </c:pt>
                <c:pt idx="181">
                  <c:v>298715.8</c:v>
                </c:pt>
                <c:pt idx="182">
                  <c:v>298692.7</c:v>
                </c:pt>
                <c:pt idx="183">
                  <c:v>298666.7</c:v>
                </c:pt>
                <c:pt idx="184">
                  <c:v>298639.09999999998</c:v>
                </c:pt>
                <c:pt idx="185">
                  <c:v>298610.59999999998</c:v>
                </c:pt>
                <c:pt idx="186">
                  <c:v>298581.90000000002</c:v>
                </c:pt>
                <c:pt idx="187">
                  <c:v>298553.5</c:v>
                </c:pt>
                <c:pt idx="188">
                  <c:v>298526.09999999998</c:v>
                </c:pt>
                <c:pt idx="189">
                  <c:v>298500.2</c:v>
                </c:pt>
                <c:pt idx="190">
                  <c:v>298477</c:v>
                </c:pt>
                <c:pt idx="191">
                  <c:v>298457.8</c:v>
                </c:pt>
                <c:pt idx="192">
                  <c:v>298444.2</c:v>
                </c:pt>
                <c:pt idx="193">
                  <c:v>298438.3</c:v>
                </c:pt>
                <c:pt idx="194">
                  <c:v>298443.3</c:v>
                </c:pt>
                <c:pt idx="195">
                  <c:v>298462.3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600-4781-82B5-A3FFD40CC66D}"/>
            </c:ext>
          </c:extLst>
        </c:ser>
        <c:ser>
          <c:idx val="1"/>
          <c:order val="1"/>
          <c:tx>
            <c:strRef>
              <c:f>variable_inlet!$E$1</c:f>
              <c:strCache>
                <c:ptCount val="1"/>
                <c:pt idx="0">
                  <c:v>1 kierownica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variable_inlet!$H$5:$H$200</c:f>
              <c:numCache>
                <c:formatCode>General</c:formatCode>
                <c:ptCount val="196"/>
                <c:pt idx="0">
                  <c:v>0</c:v>
                </c:pt>
                <c:pt idx="1">
                  <c:v>2.7779999999999998E-4</c:v>
                </c:pt>
                <c:pt idx="2">
                  <c:v>5.5559999999999995E-4</c:v>
                </c:pt>
                <c:pt idx="3">
                  <c:v>8.3339989999999995E-4</c:v>
                </c:pt>
                <c:pt idx="4">
                  <c:v>1.1111999999999999E-3</c:v>
                </c:pt>
                <c:pt idx="5">
                  <c:v>1.389E-3</c:v>
                </c:pt>
                <c:pt idx="6">
                  <c:v>1.6668E-3</c:v>
                </c:pt>
                <c:pt idx="7">
                  <c:v>1.9446000000000001E-3</c:v>
                </c:pt>
                <c:pt idx="8">
                  <c:v>2.2223999999999998E-3</c:v>
                </c:pt>
                <c:pt idx="9">
                  <c:v>2.5002000000000002E-3</c:v>
                </c:pt>
                <c:pt idx="10">
                  <c:v>2.7780000000000001E-3</c:v>
                </c:pt>
                <c:pt idx="11">
                  <c:v>3.0558E-3</c:v>
                </c:pt>
                <c:pt idx="12">
                  <c:v>3.3335999999999999E-3</c:v>
                </c:pt>
                <c:pt idx="13">
                  <c:v>3.6113999999999999E-3</c:v>
                </c:pt>
                <c:pt idx="14">
                  <c:v>3.8892000000000002E-3</c:v>
                </c:pt>
                <c:pt idx="15">
                  <c:v>4.1669999999999997E-3</c:v>
                </c:pt>
                <c:pt idx="16">
                  <c:v>4.4447999999999996E-3</c:v>
                </c:pt>
                <c:pt idx="17">
                  <c:v>4.7226000000000004E-3</c:v>
                </c:pt>
                <c:pt idx="18">
                  <c:v>5.0004000000000003E-3</c:v>
                </c:pt>
                <c:pt idx="19">
                  <c:v>5.2782000000000003E-3</c:v>
                </c:pt>
                <c:pt idx="20">
                  <c:v>5.5560000000000002E-3</c:v>
                </c:pt>
                <c:pt idx="21">
                  <c:v>5.8338000000000001E-3</c:v>
                </c:pt>
                <c:pt idx="22">
                  <c:v>6.1116E-3</c:v>
                </c:pt>
                <c:pt idx="23">
                  <c:v>6.3893999999999999E-3</c:v>
                </c:pt>
                <c:pt idx="24">
                  <c:v>6.6671999999999999E-3</c:v>
                </c:pt>
                <c:pt idx="25">
                  <c:v>6.9449999999999998E-3</c:v>
                </c:pt>
                <c:pt idx="26">
                  <c:v>7.2227999999999997E-3</c:v>
                </c:pt>
                <c:pt idx="27">
                  <c:v>7.5005999999999996E-3</c:v>
                </c:pt>
                <c:pt idx="28">
                  <c:v>7.7784000000000004E-3</c:v>
                </c:pt>
                <c:pt idx="29">
                  <c:v>8.0561999999999995E-3</c:v>
                </c:pt>
                <c:pt idx="30">
                  <c:v>8.3339999999999994E-3</c:v>
                </c:pt>
                <c:pt idx="31">
                  <c:v>8.6117999999999993E-3</c:v>
                </c:pt>
                <c:pt idx="32">
                  <c:v>8.8895999999999992E-3</c:v>
                </c:pt>
                <c:pt idx="33">
                  <c:v>9.1673989999999997E-3</c:v>
                </c:pt>
                <c:pt idx="34">
                  <c:v>9.4452000000000008E-3</c:v>
                </c:pt>
                <c:pt idx="35">
                  <c:v>9.7229989999999995E-3</c:v>
                </c:pt>
                <c:pt idx="36">
                  <c:v>1.0000800000000001E-2</c:v>
                </c:pt>
                <c:pt idx="37">
                  <c:v>1.0278600000000001E-2</c:v>
                </c:pt>
                <c:pt idx="38">
                  <c:v>1.0556400000000001E-2</c:v>
                </c:pt>
                <c:pt idx="39">
                  <c:v>1.08342E-2</c:v>
                </c:pt>
                <c:pt idx="40">
                  <c:v>1.1112E-2</c:v>
                </c:pt>
                <c:pt idx="41">
                  <c:v>1.13898E-2</c:v>
                </c:pt>
                <c:pt idx="42">
                  <c:v>1.16676E-2</c:v>
                </c:pt>
                <c:pt idx="43">
                  <c:v>1.19454E-2</c:v>
                </c:pt>
                <c:pt idx="44">
                  <c:v>1.22232E-2</c:v>
                </c:pt>
                <c:pt idx="45">
                  <c:v>1.2501E-2</c:v>
                </c:pt>
                <c:pt idx="46">
                  <c:v>1.27788E-2</c:v>
                </c:pt>
                <c:pt idx="47">
                  <c:v>1.30566E-2</c:v>
                </c:pt>
                <c:pt idx="48">
                  <c:v>1.33344E-2</c:v>
                </c:pt>
                <c:pt idx="49">
                  <c:v>1.36122E-2</c:v>
                </c:pt>
                <c:pt idx="50">
                  <c:v>1.389E-2</c:v>
                </c:pt>
                <c:pt idx="51">
                  <c:v>1.4167799999999999E-2</c:v>
                </c:pt>
                <c:pt idx="52">
                  <c:v>1.4445599999999999E-2</c:v>
                </c:pt>
                <c:pt idx="53">
                  <c:v>1.4723399999999999E-2</c:v>
                </c:pt>
                <c:pt idx="54">
                  <c:v>1.5001199999999999E-2</c:v>
                </c:pt>
                <c:pt idx="55">
                  <c:v>1.5278999999999999E-2</c:v>
                </c:pt>
                <c:pt idx="56">
                  <c:v>1.5556800000000001E-2</c:v>
                </c:pt>
                <c:pt idx="57">
                  <c:v>1.5834600000000001E-2</c:v>
                </c:pt>
                <c:pt idx="58">
                  <c:v>1.6112399999999999E-2</c:v>
                </c:pt>
                <c:pt idx="59">
                  <c:v>1.6390200000000001E-2</c:v>
                </c:pt>
                <c:pt idx="60">
                  <c:v>1.6667999999999999E-2</c:v>
                </c:pt>
                <c:pt idx="61">
                  <c:v>1.69458E-2</c:v>
                </c:pt>
                <c:pt idx="62">
                  <c:v>1.7223599999999999E-2</c:v>
                </c:pt>
                <c:pt idx="63">
                  <c:v>1.75014E-2</c:v>
                </c:pt>
                <c:pt idx="64">
                  <c:v>1.7779199999999998E-2</c:v>
                </c:pt>
                <c:pt idx="65">
                  <c:v>1.8057E-2</c:v>
                </c:pt>
                <c:pt idx="66">
                  <c:v>1.8334799999999998E-2</c:v>
                </c:pt>
                <c:pt idx="67">
                  <c:v>1.86126E-2</c:v>
                </c:pt>
                <c:pt idx="68">
                  <c:v>1.8890400000000002E-2</c:v>
                </c:pt>
                <c:pt idx="69">
                  <c:v>1.91682E-2</c:v>
                </c:pt>
                <c:pt idx="70">
                  <c:v>1.9446000000000001E-2</c:v>
                </c:pt>
                <c:pt idx="71">
                  <c:v>1.97238E-2</c:v>
                </c:pt>
                <c:pt idx="72">
                  <c:v>2.0001600000000001E-2</c:v>
                </c:pt>
                <c:pt idx="73">
                  <c:v>2.02794E-2</c:v>
                </c:pt>
                <c:pt idx="74">
                  <c:v>2.0557200000000001E-2</c:v>
                </c:pt>
                <c:pt idx="75">
                  <c:v>2.0834999999999999E-2</c:v>
                </c:pt>
                <c:pt idx="76">
                  <c:v>2.1112800000000001E-2</c:v>
                </c:pt>
                <c:pt idx="77">
                  <c:v>2.1390599999999999E-2</c:v>
                </c:pt>
                <c:pt idx="78">
                  <c:v>2.1668400000000001E-2</c:v>
                </c:pt>
                <c:pt idx="79">
                  <c:v>2.1946199999999999E-2</c:v>
                </c:pt>
                <c:pt idx="80">
                  <c:v>2.2224000000000001E-2</c:v>
                </c:pt>
                <c:pt idx="81">
                  <c:v>2.2501799999999999E-2</c:v>
                </c:pt>
                <c:pt idx="82">
                  <c:v>2.2779600000000001E-2</c:v>
                </c:pt>
                <c:pt idx="83">
                  <c:v>2.3057399999999999E-2</c:v>
                </c:pt>
                <c:pt idx="84">
                  <c:v>2.33352E-2</c:v>
                </c:pt>
                <c:pt idx="85">
                  <c:v>2.3612999999999999E-2</c:v>
                </c:pt>
                <c:pt idx="86">
                  <c:v>2.38908E-2</c:v>
                </c:pt>
                <c:pt idx="87">
                  <c:v>2.4168599999999998E-2</c:v>
                </c:pt>
                <c:pt idx="88">
                  <c:v>2.44464E-2</c:v>
                </c:pt>
                <c:pt idx="89">
                  <c:v>2.4724200000000002E-2</c:v>
                </c:pt>
                <c:pt idx="90">
                  <c:v>2.5002E-2</c:v>
                </c:pt>
                <c:pt idx="91">
                  <c:v>2.5279800000000002E-2</c:v>
                </c:pt>
                <c:pt idx="92">
                  <c:v>2.55576E-2</c:v>
                </c:pt>
                <c:pt idx="93">
                  <c:v>2.5835400000000001E-2</c:v>
                </c:pt>
                <c:pt idx="94">
                  <c:v>2.61132E-2</c:v>
                </c:pt>
                <c:pt idx="95">
                  <c:v>2.6391000000000001E-2</c:v>
                </c:pt>
                <c:pt idx="96">
                  <c:v>2.6668799999999999E-2</c:v>
                </c:pt>
                <c:pt idx="97">
                  <c:v>2.6946600000000001E-2</c:v>
                </c:pt>
                <c:pt idx="98">
                  <c:v>2.7224399999999999E-2</c:v>
                </c:pt>
                <c:pt idx="99">
                  <c:v>2.7502200000000001E-2</c:v>
                </c:pt>
                <c:pt idx="100">
                  <c:v>2.7779999999999999E-2</c:v>
                </c:pt>
                <c:pt idx="101">
                  <c:v>2.8057800000000001E-2</c:v>
                </c:pt>
                <c:pt idx="102">
                  <c:v>2.8335599999999999E-2</c:v>
                </c:pt>
                <c:pt idx="103">
                  <c:v>2.8613400000000001E-2</c:v>
                </c:pt>
                <c:pt idx="104">
                  <c:v>2.8891199999999999E-2</c:v>
                </c:pt>
                <c:pt idx="105">
                  <c:v>2.9169E-2</c:v>
                </c:pt>
                <c:pt idx="106">
                  <c:v>2.9446799999999999E-2</c:v>
                </c:pt>
                <c:pt idx="107">
                  <c:v>2.97246E-2</c:v>
                </c:pt>
                <c:pt idx="108">
                  <c:v>3.0002399999999999E-2</c:v>
                </c:pt>
                <c:pt idx="109">
                  <c:v>3.02802E-2</c:v>
                </c:pt>
                <c:pt idx="110">
                  <c:v>3.0557999999999998E-2</c:v>
                </c:pt>
                <c:pt idx="111">
                  <c:v>3.08358E-2</c:v>
                </c:pt>
                <c:pt idx="112">
                  <c:v>3.1113600000000002E-2</c:v>
                </c:pt>
                <c:pt idx="113">
                  <c:v>3.13914E-2</c:v>
                </c:pt>
                <c:pt idx="114">
                  <c:v>3.1669200000000002E-2</c:v>
                </c:pt>
                <c:pt idx="115">
                  <c:v>3.1947000000000003E-2</c:v>
                </c:pt>
                <c:pt idx="116">
                  <c:v>3.2224799999999998E-2</c:v>
                </c:pt>
                <c:pt idx="117">
                  <c:v>3.25026E-2</c:v>
                </c:pt>
                <c:pt idx="118">
                  <c:v>3.2780400000000001E-2</c:v>
                </c:pt>
                <c:pt idx="119">
                  <c:v>3.3058200000000003E-2</c:v>
                </c:pt>
                <c:pt idx="120">
                  <c:v>3.3335999999999998E-2</c:v>
                </c:pt>
                <c:pt idx="121">
                  <c:v>3.3613799999999999E-2</c:v>
                </c:pt>
                <c:pt idx="122">
                  <c:v>3.3891600000000001E-2</c:v>
                </c:pt>
                <c:pt idx="123">
                  <c:v>3.4169400000000003E-2</c:v>
                </c:pt>
                <c:pt idx="124">
                  <c:v>3.4447199999999997E-2</c:v>
                </c:pt>
                <c:pt idx="125">
                  <c:v>3.4724999999999999E-2</c:v>
                </c:pt>
                <c:pt idx="126">
                  <c:v>3.5002800000000001E-2</c:v>
                </c:pt>
                <c:pt idx="127">
                  <c:v>3.5280600000000002E-2</c:v>
                </c:pt>
                <c:pt idx="128">
                  <c:v>3.5558399999999997E-2</c:v>
                </c:pt>
                <c:pt idx="129">
                  <c:v>3.5836199999999999E-2</c:v>
                </c:pt>
                <c:pt idx="130">
                  <c:v>3.6114E-2</c:v>
                </c:pt>
                <c:pt idx="131">
                  <c:v>3.6391800000000002E-2</c:v>
                </c:pt>
                <c:pt idx="132">
                  <c:v>3.6669599999999997E-2</c:v>
                </c:pt>
                <c:pt idx="133">
                  <c:v>3.6947399999999998E-2</c:v>
                </c:pt>
                <c:pt idx="134">
                  <c:v>3.72252E-2</c:v>
                </c:pt>
                <c:pt idx="135">
                  <c:v>3.7503000000000002E-2</c:v>
                </c:pt>
                <c:pt idx="136">
                  <c:v>3.7780800000000003E-2</c:v>
                </c:pt>
                <c:pt idx="137">
                  <c:v>3.8058599999999998E-2</c:v>
                </c:pt>
                <c:pt idx="138">
                  <c:v>3.83364E-2</c:v>
                </c:pt>
                <c:pt idx="139">
                  <c:v>3.8614200000000001E-2</c:v>
                </c:pt>
                <c:pt idx="140">
                  <c:v>3.8892000000000003E-2</c:v>
                </c:pt>
                <c:pt idx="141">
                  <c:v>3.9169799999999998E-2</c:v>
                </c:pt>
                <c:pt idx="142">
                  <c:v>3.9447599999999999E-2</c:v>
                </c:pt>
                <c:pt idx="143">
                  <c:v>3.9725400000000001E-2</c:v>
                </c:pt>
                <c:pt idx="144">
                  <c:v>4.0003200000000003E-2</c:v>
                </c:pt>
                <c:pt idx="145">
                  <c:v>4.0280999999999997E-2</c:v>
                </c:pt>
                <c:pt idx="146">
                  <c:v>4.0558799999999999E-2</c:v>
                </c:pt>
                <c:pt idx="147">
                  <c:v>4.0836600000000001E-2</c:v>
                </c:pt>
                <c:pt idx="148">
                  <c:v>4.1114400000000002E-2</c:v>
                </c:pt>
                <c:pt idx="149">
                  <c:v>4.1392199999999997E-2</c:v>
                </c:pt>
                <c:pt idx="150">
                  <c:v>4.1669999999999999E-2</c:v>
                </c:pt>
                <c:pt idx="151">
                  <c:v>4.19478E-2</c:v>
                </c:pt>
                <c:pt idx="152">
                  <c:v>4.2225600000000002E-2</c:v>
                </c:pt>
                <c:pt idx="153">
                  <c:v>4.2503399999999997E-2</c:v>
                </c:pt>
                <c:pt idx="154">
                  <c:v>4.2781199999999998E-2</c:v>
                </c:pt>
                <c:pt idx="155">
                  <c:v>4.3059E-2</c:v>
                </c:pt>
                <c:pt idx="156">
                  <c:v>4.3336800000000002E-2</c:v>
                </c:pt>
                <c:pt idx="157">
                  <c:v>4.3614600000000003E-2</c:v>
                </c:pt>
                <c:pt idx="158">
                  <c:v>4.3892399999999998E-2</c:v>
                </c:pt>
                <c:pt idx="159">
                  <c:v>4.41702E-2</c:v>
                </c:pt>
                <c:pt idx="160">
                  <c:v>4.4448000000000001E-2</c:v>
                </c:pt>
                <c:pt idx="161">
                  <c:v>4.4725800000000003E-2</c:v>
                </c:pt>
                <c:pt idx="162">
                  <c:v>4.5003599999999998E-2</c:v>
                </c:pt>
                <c:pt idx="163">
                  <c:v>4.5281399999999999E-2</c:v>
                </c:pt>
                <c:pt idx="164">
                  <c:v>4.5559200000000001E-2</c:v>
                </c:pt>
                <c:pt idx="165">
                  <c:v>4.5837000000000003E-2</c:v>
                </c:pt>
                <c:pt idx="166">
                  <c:v>4.6114799999999997E-2</c:v>
                </c:pt>
                <c:pt idx="167">
                  <c:v>4.6392599999999999E-2</c:v>
                </c:pt>
                <c:pt idx="168">
                  <c:v>4.6670400000000001E-2</c:v>
                </c:pt>
                <c:pt idx="169">
                  <c:v>4.6948200000000002E-2</c:v>
                </c:pt>
                <c:pt idx="170">
                  <c:v>4.7225999999999997E-2</c:v>
                </c:pt>
                <c:pt idx="171">
                  <c:v>4.7503799999999999E-2</c:v>
                </c:pt>
                <c:pt idx="172">
                  <c:v>4.77816E-2</c:v>
                </c:pt>
                <c:pt idx="173">
                  <c:v>4.8059400000000002E-2</c:v>
                </c:pt>
                <c:pt idx="174">
                  <c:v>4.8337199999999997E-2</c:v>
                </c:pt>
                <c:pt idx="175">
                  <c:v>4.8614999999999998E-2</c:v>
                </c:pt>
                <c:pt idx="176">
                  <c:v>4.88928E-2</c:v>
                </c:pt>
                <c:pt idx="177">
                  <c:v>4.9170600000000002E-2</c:v>
                </c:pt>
                <c:pt idx="178">
                  <c:v>4.9448400000000003E-2</c:v>
                </c:pt>
                <c:pt idx="179">
                  <c:v>4.9726199999999998E-2</c:v>
                </c:pt>
                <c:pt idx="180">
                  <c:v>5.0004E-2</c:v>
                </c:pt>
                <c:pt idx="181">
                  <c:v>5.0281800000000001E-2</c:v>
                </c:pt>
                <c:pt idx="182">
                  <c:v>5.0559600000000003E-2</c:v>
                </c:pt>
                <c:pt idx="183">
                  <c:v>5.0837399999999998E-2</c:v>
                </c:pt>
                <c:pt idx="184">
                  <c:v>5.11152E-2</c:v>
                </c:pt>
                <c:pt idx="185">
                  <c:v>5.1393000000000001E-2</c:v>
                </c:pt>
                <c:pt idx="186">
                  <c:v>5.1670800000000003E-2</c:v>
                </c:pt>
                <c:pt idx="187">
                  <c:v>5.1948599999999998E-2</c:v>
                </c:pt>
                <c:pt idx="188">
                  <c:v>5.2226399999999999E-2</c:v>
                </c:pt>
                <c:pt idx="189">
                  <c:v>5.2504200000000001E-2</c:v>
                </c:pt>
                <c:pt idx="190">
                  <c:v>5.2782000000000003E-2</c:v>
                </c:pt>
                <c:pt idx="191">
                  <c:v>5.3059799999999997E-2</c:v>
                </c:pt>
                <c:pt idx="192">
                  <c:v>5.3337599999999999E-2</c:v>
                </c:pt>
                <c:pt idx="193">
                  <c:v>5.3615400000000001E-2</c:v>
                </c:pt>
                <c:pt idx="194">
                  <c:v>5.3893200000000002E-2</c:v>
                </c:pt>
                <c:pt idx="195">
                  <c:v>5.4170999999999997E-2</c:v>
                </c:pt>
              </c:numCache>
            </c:numRef>
          </c:xVal>
          <c:yVal>
            <c:numRef>
              <c:f>variable_inlet!$F$5:$F$200</c:f>
              <c:numCache>
                <c:formatCode>General</c:formatCode>
                <c:ptCount val="196"/>
                <c:pt idx="0">
                  <c:v>299999.8</c:v>
                </c:pt>
                <c:pt idx="1">
                  <c:v>299999.8</c:v>
                </c:pt>
                <c:pt idx="2">
                  <c:v>300407.40000000002</c:v>
                </c:pt>
                <c:pt idx="3">
                  <c:v>301358.8</c:v>
                </c:pt>
                <c:pt idx="4">
                  <c:v>302568.7</c:v>
                </c:pt>
                <c:pt idx="5">
                  <c:v>303628.3</c:v>
                </c:pt>
                <c:pt idx="6">
                  <c:v>304455.40000000002</c:v>
                </c:pt>
                <c:pt idx="7">
                  <c:v>305427.90000000002</c:v>
                </c:pt>
                <c:pt idx="8">
                  <c:v>307095.09999999998</c:v>
                </c:pt>
                <c:pt idx="9">
                  <c:v>307620.3</c:v>
                </c:pt>
                <c:pt idx="10">
                  <c:v>308596.3</c:v>
                </c:pt>
                <c:pt idx="11">
                  <c:v>309610.40000000002</c:v>
                </c:pt>
                <c:pt idx="12">
                  <c:v>310468.09999999998</c:v>
                </c:pt>
                <c:pt idx="13">
                  <c:v>311008.40000000002</c:v>
                </c:pt>
                <c:pt idx="14">
                  <c:v>311535</c:v>
                </c:pt>
                <c:pt idx="15">
                  <c:v>312044.90000000002</c:v>
                </c:pt>
                <c:pt idx="16">
                  <c:v>312366.2</c:v>
                </c:pt>
                <c:pt idx="17">
                  <c:v>312274</c:v>
                </c:pt>
                <c:pt idx="18">
                  <c:v>311907</c:v>
                </c:pt>
                <c:pt idx="19">
                  <c:v>310940.09999999998</c:v>
                </c:pt>
                <c:pt idx="20">
                  <c:v>309644.09999999998</c:v>
                </c:pt>
                <c:pt idx="21">
                  <c:v>308204.09999999998</c:v>
                </c:pt>
                <c:pt idx="22">
                  <c:v>306757.3</c:v>
                </c:pt>
                <c:pt idx="23">
                  <c:v>305405.8</c:v>
                </c:pt>
                <c:pt idx="24">
                  <c:v>304388.09999999998</c:v>
                </c:pt>
                <c:pt idx="25">
                  <c:v>303284.2</c:v>
                </c:pt>
                <c:pt idx="26">
                  <c:v>302242.09999999998</c:v>
                </c:pt>
                <c:pt idx="27">
                  <c:v>301306</c:v>
                </c:pt>
                <c:pt idx="28">
                  <c:v>301023.8</c:v>
                </c:pt>
                <c:pt idx="29">
                  <c:v>301203.59999999998</c:v>
                </c:pt>
                <c:pt idx="30">
                  <c:v>301276.59999999998</c:v>
                </c:pt>
                <c:pt idx="31">
                  <c:v>301351.40000000002</c:v>
                </c:pt>
                <c:pt idx="32">
                  <c:v>301423.09999999998</c:v>
                </c:pt>
                <c:pt idx="33">
                  <c:v>301487.59999999998</c:v>
                </c:pt>
                <c:pt idx="34">
                  <c:v>301541.59999999998</c:v>
                </c:pt>
                <c:pt idx="35">
                  <c:v>301584.90000000002</c:v>
                </c:pt>
                <c:pt idx="36">
                  <c:v>301617.8</c:v>
                </c:pt>
                <c:pt idx="37">
                  <c:v>301640.3</c:v>
                </c:pt>
                <c:pt idx="38">
                  <c:v>301653.2</c:v>
                </c:pt>
                <c:pt idx="39">
                  <c:v>301657.5</c:v>
                </c:pt>
                <c:pt idx="40">
                  <c:v>301654.7</c:v>
                </c:pt>
                <c:pt idx="41">
                  <c:v>301646.2</c:v>
                </c:pt>
                <c:pt idx="42">
                  <c:v>301633.09999999998</c:v>
                </c:pt>
                <c:pt idx="43">
                  <c:v>301616.2</c:v>
                </c:pt>
                <c:pt idx="44">
                  <c:v>301596.2</c:v>
                </c:pt>
                <c:pt idx="45">
                  <c:v>301573.7</c:v>
                </c:pt>
                <c:pt idx="46">
                  <c:v>301549.5</c:v>
                </c:pt>
                <c:pt idx="47">
                  <c:v>301524.3</c:v>
                </c:pt>
                <c:pt idx="48">
                  <c:v>301498.59999999998</c:v>
                </c:pt>
                <c:pt idx="49">
                  <c:v>301473.2</c:v>
                </c:pt>
                <c:pt idx="50">
                  <c:v>301449.09999999998</c:v>
                </c:pt>
                <c:pt idx="51">
                  <c:v>301427.59999999998</c:v>
                </c:pt>
                <c:pt idx="52">
                  <c:v>301410.40000000002</c:v>
                </c:pt>
                <c:pt idx="53">
                  <c:v>301400.2</c:v>
                </c:pt>
                <c:pt idx="54">
                  <c:v>301401.2</c:v>
                </c:pt>
                <c:pt idx="55">
                  <c:v>301418.8</c:v>
                </c:pt>
                <c:pt idx="56">
                  <c:v>301456.3</c:v>
                </c:pt>
                <c:pt idx="57">
                  <c:v>301512.8</c:v>
                </c:pt>
                <c:pt idx="58">
                  <c:v>301583.3</c:v>
                </c:pt>
                <c:pt idx="59">
                  <c:v>301660.90000000002</c:v>
                </c:pt>
                <c:pt idx="60">
                  <c:v>301738.7</c:v>
                </c:pt>
                <c:pt idx="61">
                  <c:v>301811.20000000001</c:v>
                </c:pt>
                <c:pt idx="62">
                  <c:v>301874.09999999998</c:v>
                </c:pt>
                <c:pt idx="63">
                  <c:v>301924.40000000002</c:v>
                </c:pt>
                <c:pt idx="64">
                  <c:v>301961</c:v>
                </c:pt>
                <c:pt idx="65">
                  <c:v>301984.09999999998</c:v>
                </c:pt>
                <c:pt idx="66">
                  <c:v>301994.7</c:v>
                </c:pt>
                <c:pt idx="67">
                  <c:v>301994.09999999998</c:v>
                </c:pt>
                <c:pt idx="68">
                  <c:v>301984.2</c:v>
                </c:pt>
                <c:pt idx="69">
                  <c:v>301966.5</c:v>
                </c:pt>
                <c:pt idx="70">
                  <c:v>301945.7</c:v>
                </c:pt>
                <c:pt idx="71">
                  <c:v>301919.2</c:v>
                </c:pt>
                <c:pt idx="72">
                  <c:v>301888.7</c:v>
                </c:pt>
                <c:pt idx="73">
                  <c:v>302244.09999999998</c:v>
                </c:pt>
                <c:pt idx="74">
                  <c:v>303116.09999999998</c:v>
                </c:pt>
                <c:pt idx="75">
                  <c:v>304217.8</c:v>
                </c:pt>
                <c:pt idx="76">
                  <c:v>305161.09999999998</c:v>
                </c:pt>
                <c:pt idx="77">
                  <c:v>305872.90000000002</c:v>
                </c:pt>
                <c:pt idx="78">
                  <c:v>306759.8</c:v>
                </c:pt>
                <c:pt idx="79">
                  <c:v>307581.5</c:v>
                </c:pt>
                <c:pt idx="80">
                  <c:v>308291.3</c:v>
                </c:pt>
                <c:pt idx="81">
                  <c:v>308993.5</c:v>
                </c:pt>
                <c:pt idx="82">
                  <c:v>309947.8</c:v>
                </c:pt>
                <c:pt idx="83">
                  <c:v>310937.2</c:v>
                </c:pt>
                <c:pt idx="84">
                  <c:v>311737.3</c:v>
                </c:pt>
                <c:pt idx="85">
                  <c:v>312158.8</c:v>
                </c:pt>
                <c:pt idx="86">
                  <c:v>312522.40000000002</c:v>
                </c:pt>
                <c:pt idx="87">
                  <c:v>312816.40000000002</c:v>
                </c:pt>
                <c:pt idx="88">
                  <c:v>312850.2</c:v>
                </c:pt>
                <c:pt idx="89">
                  <c:v>312419.09999999998</c:v>
                </c:pt>
                <c:pt idx="90">
                  <c:v>311743.3</c:v>
                </c:pt>
                <c:pt idx="91">
                  <c:v>310549</c:v>
                </c:pt>
                <c:pt idx="92">
                  <c:v>309055.90000000002</c:v>
                </c:pt>
                <c:pt idx="93">
                  <c:v>307427.5</c:v>
                </c:pt>
                <c:pt idx="94">
                  <c:v>305816.2</c:v>
                </c:pt>
                <c:pt idx="95">
                  <c:v>304352.40000000002</c:v>
                </c:pt>
                <c:pt idx="96">
                  <c:v>303266</c:v>
                </c:pt>
                <c:pt idx="97">
                  <c:v>302098.3</c:v>
                </c:pt>
                <c:pt idx="98">
                  <c:v>300991.09999999998</c:v>
                </c:pt>
                <c:pt idx="99">
                  <c:v>300003.59999999998</c:v>
                </c:pt>
                <c:pt idx="100">
                  <c:v>299692</c:v>
                </c:pt>
                <c:pt idx="101">
                  <c:v>299840.40000000002</c:v>
                </c:pt>
                <c:pt idx="102">
                  <c:v>299879.90000000002</c:v>
                </c:pt>
                <c:pt idx="103">
                  <c:v>299918.7</c:v>
                </c:pt>
                <c:pt idx="104">
                  <c:v>299951.7</c:v>
                </c:pt>
                <c:pt idx="105">
                  <c:v>299974.59999999998</c:v>
                </c:pt>
                <c:pt idx="106">
                  <c:v>299986.3</c:v>
                </c:pt>
                <c:pt idx="107">
                  <c:v>299987.59999999998</c:v>
                </c:pt>
                <c:pt idx="108">
                  <c:v>299979.3</c:v>
                </c:pt>
                <c:pt idx="109">
                  <c:v>299962.09999999998</c:v>
                </c:pt>
                <c:pt idx="110">
                  <c:v>299937.40000000002</c:v>
                </c:pt>
                <c:pt idx="111">
                  <c:v>299907</c:v>
                </c:pt>
                <c:pt idx="112">
                  <c:v>299872.40000000002</c:v>
                </c:pt>
                <c:pt idx="113">
                  <c:v>299834.59999999998</c:v>
                </c:pt>
                <c:pt idx="114">
                  <c:v>299794.7</c:v>
                </c:pt>
                <c:pt idx="115">
                  <c:v>299753.2</c:v>
                </c:pt>
                <c:pt idx="116">
                  <c:v>299710.59999999998</c:v>
                </c:pt>
                <c:pt idx="117">
                  <c:v>299667.40000000002</c:v>
                </c:pt>
                <c:pt idx="118">
                  <c:v>299623.90000000002</c:v>
                </c:pt>
                <c:pt idx="119">
                  <c:v>299580.09999999998</c:v>
                </c:pt>
                <c:pt idx="120">
                  <c:v>299536</c:v>
                </c:pt>
                <c:pt idx="121">
                  <c:v>299491.20000000001</c:v>
                </c:pt>
                <c:pt idx="122">
                  <c:v>299445.09999999998</c:v>
                </c:pt>
                <c:pt idx="123">
                  <c:v>299396.90000000002</c:v>
                </c:pt>
                <c:pt idx="124">
                  <c:v>299346.3</c:v>
                </c:pt>
                <c:pt idx="125">
                  <c:v>299293.2</c:v>
                </c:pt>
                <c:pt idx="126">
                  <c:v>299237.40000000002</c:v>
                </c:pt>
                <c:pt idx="127">
                  <c:v>299178.59999999998</c:v>
                </c:pt>
                <c:pt idx="128">
                  <c:v>299115.40000000002</c:v>
                </c:pt>
                <c:pt idx="129">
                  <c:v>299045.09999999998</c:v>
                </c:pt>
                <c:pt idx="130">
                  <c:v>298963.20000000001</c:v>
                </c:pt>
                <c:pt idx="131">
                  <c:v>298865.2</c:v>
                </c:pt>
                <c:pt idx="132">
                  <c:v>298748.5</c:v>
                </c:pt>
                <c:pt idx="133">
                  <c:v>298614.2</c:v>
                </c:pt>
                <c:pt idx="134">
                  <c:v>298465.59999999998</c:v>
                </c:pt>
                <c:pt idx="135">
                  <c:v>298306.8</c:v>
                </c:pt>
                <c:pt idx="136">
                  <c:v>298144.09999999998</c:v>
                </c:pt>
                <c:pt idx="137">
                  <c:v>297988.7</c:v>
                </c:pt>
                <c:pt idx="138">
                  <c:v>297851</c:v>
                </c:pt>
                <c:pt idx="139">
                  <c:v>297731.3</c:v>
                </c:pt>
                <c:pt idx="140">
                  <c:v>297624.09999999998</c:v>
                </c:pt>
                <c:pt idx="141">
                  <c:v>297528.90000000002</c:v>
                </c:pt>
                <c:pt idx="142">
                  <c:v>297445</c:v>
                </c:pt>
                <c:pt idx="143">
                  <c:v>297378.09999999998</c:v>
                </c:pt>
                <c:pt idx="144">
                  <c:v>297316.3</c:v>
                </c:pt>
                <c:pt idx="145">
                  <c:v>297632</c:v>
                </c:pt>
                <c:pt idx="146">
                  <c:v>298503.40000000002</c:v>
                </c:pt>
                <c:pt idx="147">
                  <c:v>299655.09999999998</c:v>
                </c:pt>
                <c:pt idx="148">
                  <c:v>300725.2</c:v>
                </c:pt>
                <c:pt idx="149">
                  <c:v>301652.40000000002</c:v>
                </c:pt>
                <c:pt idx="150">
                  <c:v>302795.8</c:v>
                </c:pt>
                <c:pt idx="151">
                  <c:v>303853.8</c:v>
                </c:pt>
                <c:pt idx="152">
                  <c:v>304734.3</c:v>
                </c:pt>
                <c:pt idx="153">
                  <c:v>305590.09999999998</c:v>
                </c:pt>
                <c:pt idx="154">
                  <c:v>306715</c:v>
                </c:pt>
                <c:pt idx="155">
                  <c:v>307881</c:v>
                </c:pt>
                <c:pt idx="156">
                  <c:v>308865.8</c:v>
                </c:pt>
                <c:pt idx="157">
                  <c:v>309472.5</c:v>
                </c:pt>
                <c:pt idx="158">
                  <c:v>310009</c:v>
                </c:pt>
                <c:pt idx="159">
                  <c:v>310468.5</c:v>
                </c:pt>
                <c:pt idx="160">
                  <c:v>310685.59999999998</c:v>
                </c:pt>
                <c:pt idx="161">
                  <c:v>310474.2</c:v>
                </c:pt>
                <c:pt idx="162">
                  <c:v>310007.7</c:v>
                </c:pt>
                <c:pt idx="163">
                  <c:v>308959.09999999998</c:v>
                </c:pt>
                <c:pt idx="164">
                  <c:v>307596.5</c:v>
                </c:pt>
                <c:pt idx="165">
                  <c:v>306127.7</c:v>
                </c:pt>
                <c:pt idx="166">
                  <c:v>304671.09999999998</c:v>
                </c:pt>
                <c:pt idx="167">
                  <c:v>303299.59999999998</c:v>
                </c:pt>
                <c:pt idx="168">
                  <c:v>302240.8</c:v>
                </c:pt>
                <c:pt idx="169">
                  <c:v>301073.2</c:v>
                </c:pt>
                <c:pt idx="170">
                  <c:v>299959.8</c:v>
                </c:pt>
                <c:pt idx="171">
                  <c:v>298959.3</c:v>
                </c:pt>
                <c:pt idx="172">
                  <c:v>298627.5</c:v>
                </c:pt>
                <c:pt idx="173">
                  <c:v>298766.40000000002</c:v>
                </c:pt>
                <c:pt idx="174">
                  <c:v>298802.3</c:v>
                </c:pt>
                <c:pt idx="175">
                  <c:v>298843.09999999998</c:v>
                </c:pt>
                <c:pt idx="176">
                  <c:v>298883.5</c:v>
                </c:pt>
                <c:pt idx="177">
                  <c:v>298919.3</c:v>
                </c:pt>
                <c:pt idx="178">
                  <c:v>298949.09999999998</c:v>
                </c:pt>
                <c:pt idx="179">
                  <c:v>298972.79999999999</c:v>
                </c:pt>
                <c:pt idx="180">
                  <c:v>298990.3</c:v>
                </c:pt>
                <c:pt idx="181">
                  <c:v>299001.5</c:v>
                </c:pt>
                <c:pt idx="182">
                  <c:v>299006.59999999998</c:v>
                </c:pt>
                <c:pt idx="183">
                  <c:v>299006.3</c:v>
                </c:pt>
                <c:pt idx="184">
                  <c:v>299001.40000000002</c:v>
                </c:pt>
                <c:pt idx="185">
                  <c:v>298992.8</c:v>
                </c:pt>
                <c:pt idx="186">
                  <c:v>298980.90000000002</c:v>
                </c:pt>
                <c:pt idx="187">
                  <c:v>298966.3</c:v>
                </c:pt>
                <c:pt idx="188">
                  <c:v>298949.3</c:v>
                </c:pt>
                <c:pt idx="189">
                  <c:v>298930.3</c:v>
                </c:pt>
                <c:pt idx="190">
                  <c:v>298909.8</c:v>
                </c:pt>
                <c:pt idx="191">
                  <c:v>298888.40000000002</c:v>
                </c:pt>
                <c:pt idx="192">
                  <c:v>298866.40000000002</c:v>
                </c:pt>
                <c:pt idx="193">
                  <c:v>298844.3</c:v>
                </c:pt>
                <c:pt idx="194">
                  <c:v>298822.3</c:v>
                </c:pt>
                <c:pt idx="195">
                  <c:v>298800.8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600-4781-82B5-A3FFD40CC66D}"/>
            </c:ext>
          </c:extLst>
        </c:ser>
        <c:ser>
          <c:idx val="2"/>
          <c:order val="2"/>
          <c:tx>
            <c:strRef>
              <c:f>variable_inlet!$I$1</c:f>
              <c:strCache>
                <c:ptCount val="1"/>
                <c:pt idx="0">
                  <c:v>2 kierownice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variable_inlet!$P$5:$P$200</c:f>
              <c:numCache>
                <c:formatCode>General</c:formatCode>
                <c:ptCount val="196"/>
                <c:pt idx="0">
                  <c:v>0</c:v>
                </c:pt>
                <c:pt idx="1">
                  <c:v>2.7779999999999998E-4</c:v>
                </c:pt>
                <c:pt idx="2">
                  <c:v>5.5559999999999995E-4</c:v>
                </c:pt>
                <c:pt idx="3">
                  <c:v>8.3339989999999995E-4</c:v>
                </c:pt>
                <c:pt idx="4">
                  <c:v>1.1111999999999999E-3</c:v>
                </c:pt>
                <c:pt idx="5">
                  <c:v>1.389E-3</c:v>
                </c:pt>
                <c:pt idx="6">
                  <c:v>1.6668E-3</c:v>
                </c:pt>
                <c:pt idx="7">
                  <c:v>1.9446000000000001E-3</c:v>
                </c:pt>
                <c:pt idx="8">
                  <c:v>2.2223999999999998E-3</c:v>
                </c:pt>
                <c:pt idx="9">
                  <c:v>2.5002000000000002E-3</c:v>
                </c:pt>
                <c:pt idx="10">
                  <c:v>2.7780000000000001E-3</c:v>
                </c:pt>
                <c:pt idx="11">
                  <c:v>3.0558E-3</c:v>
                </c:pt>
                <c:pt idx="12">
                  <c:v>3.3335999999999999E-3</c:v>
                </c:pt>
                <c:pt idx="13">
                  <c:v>3.6113999999999999E-3</c:v>
                </c:pt>
                <c:pt idx="14">
                  <c:v>3.8892000000000002E-3</c:v>
                </c:pt>
                <c:pt idx="15">
                  <c:v>4.1669999999999997E-3</c:v>
                </c:pt>
                <c:pt idx="16">
                  <c:v>4.4447999999999996E-3</c:v>
                </c:pt>
                <c:pt idx="17">
                  <c:v>4.7226000000000004E-3</c:v>
                </c:pt>
                <c:pt idx="18">
                  <c:v>5.0004000000000003E-3</c:v>
                </c:pt>
                <c:pt idx="19">
                  <c:v>5.2782000000000003E-3</c:v>
                </c:pt>
                <c:pt idx="20">
                  <c:v>5.5560000000000002E-3</c:v>
                </c:pt>
                <c:pt idx="21">
                  <c:v>5.8338000000000001E-3</c:v>
                </c:pt>
                <c:pt idx="22">
                  <c:v>6.1116E-3</c:v>
                </c:pt>
                <c:pt idx="23">
                  <c:v>6.3893999999999999E-3</c:v>
                </c:pt>
                <c:pt idx="24">
                  <c:v>6.6671999999999999E-3</c:v>
                </c:pt>
                <c:pt idx="25">
                  <c:v>6.9449999999999998E-3</c:v>
                </c:pt>
                <c:pt idx="26">
                  <c:v>7.2227999999999997E-3</c:v>
                </c:pt>
                <c:pt idx="27">
                  <c:v>7.5005999999999996E-3</c:v>
                </c:pt>
                <c:pt idx="28">
                  <c:v>7.7784000000000004E-3</c:v>
                </c:pt>
                <c:pt idx="29">
                  <c:v>8.0561999999999995E-3</c:v>
                </c:pt>
                <c:pt idx="30">
                  <c:v>8.3339999999999994E-3</c:v>
                </c:pt>
                <c:pt idx="31">
                  <c:v>8.6117999999999993E-3</c:v>
                </c:pt>
                <c:pt idx="32">
                  <c:v>8.8895999999999992E-3</c:v>
                </c:pt>
                <c:pt idx="33">
                  <c:v>9.1673989999999997E-3</c:v>
                </c:pt>
                <c:pt idx="34">
                  <c:v>9.4452000000000008E-3</c:v>
                </c:pt>
                <c:pt idx="35">
                  <c:v>9.7229989999999995E-3</c:v>
                </c:pt>
                <c:pt idx="36">
                  <c:v>1.0000800000000001E-2</c:v>
                </c:pt>
                <c:pt idx="37">
                  <c:v>1.0278600000000001E-2</c:v>
                </c:pt>
                <c:pt idx="38">
                  <c:v>1.0556400000000001E-2</c:v>
                </c:pt>
                <c:pt idx="39">
                  <c:v>1.08342E-2</c:v>
                </c:pt>
                <c:pt idx="40">
                  <c:v>1.1112E-2</c:v>
                </c:pt>
                <c:pt idx="41">
                  <c:v>1.13898E-2</c:v>
                </c:pt>
                <c:pt idx="42">
                  <c:v>1.16676E-2</c:v>
                </c:pt>
                <c:pt idx="43">
                  <c:v>1.19454E-2</c:v>
                </c:pt>
                <c:pt idx="44">
                  <c:v>1.22232E-2</c:v>
                </c:pt>
                <c:pt idx="45">
                  <c:v>1.2501E-2</c:v>
                </c:pt>
                <c:pt idx="46">
                  <c:v>1.27788E-2</c:v>
                </c:pt>
                <c:pt idx="47">
                  <c:v>1.30566E-2</c:v>
                </c:pt>
                <c:pt idx="48">
                  <c:v>1.33344E-2</c:v>
                </c:pt>
                <c:pt idx="49">
                  <c:v>1.36122E-2</c:v>
                </c:pt>
                <c:pt idx="50">
                  <c:v>1.389E-2</c:v>
                </c:pt>
                <c:pt idx="51">
                  <c:v>1.4167799999999999E-2</c:v>
                </c:pt>
                <c:pt idx="52">
                  <c:v>1.4445599999999999E-2</c:v>
                </c:pt>
                <c:pt idx="53">
                  <c:v>1.4723399999999999E-2</c:v>
                </c:pt>
                <c:pt idx="54">
                  <c:v>1.5001199999999999E-2</c:v>
                </c:pt>
                <c:pt idx="55">
                  <c:v>1.5278999999999999E-2</c:v>
                </c:pt>
                <c:pt idx="56">
                  <c:v>1.5556800000000001E-2</c:v>
                </c:pt>
                <c:pt idx="57">
                  <c:v>1.5834600000000001E-2</c:v>
                </c:pt>
                <c:pt idx="58">
                  <c:v>1.6112399999999999E-2</c:v>
                </c:pt>
                <c:pt idx="59">
                  <c:v>1.6390200000000001E-2</c:v>
                </c:pt>
                <c:pt idx="60">
                  <c:v>1.6667999999999999E-2</c:v>
                </c:pt>
                <c:pt idx="61">
                  <c:v>1.69458E-2</c:v>
                </c:pt>
                <c:pt idx="62">
                  <c:v>1.7223599999999999E-2</c:v>
                </c:pt>
                <c:pt idx="63">
                  <c:v>1.75014E-2</c:v>
                </c:pt>
                <c:pt idx="64">
                  <c:v>1.7779199999999998E-2</c:v>
                </c:pt>
                <c:pt idx="65">
                  <c:v>1.8057E-2</c:v>
                </c:pt>
                <c:pt idx="66">
                  <c:v>1.8334799999999998E-2</c:v>
                </c:pt>
                <c:pt idx="67">
                  <c:v>1.86126E-2</c:v>
                </c:pt>
                <c:pt idx="68">
                  <c:v>1.8890400000000002E-2</c:v>
                </c:pt>
                <c:pt idx="69">
                  <c:v>1.91682E-2</c:v>
                </c:pt>
                <c:pt idx="70">
                  <c:v>1.9446000000000001E-2</c:v>
                </c:pt>
                <c:pt idx="71">
                  <c:v>1.97238E-2</c:v>
                </c:pt>
                <c:pt idx="72">
                  <c:v>2.0001600000000001E-2</c:v>
                </c:pt>
                <c:pt idx="73">
                  <c:v>2.02794E-2</c:v>
                </c:pt>
                <c:pt idx="74">
                  <c:v>2.0557200000000001E-2</c:v>
                </c:pt>
                <c:pt idx="75">
                  <c:v>2.0834999999999999E-2</c:v>
                </c:pt>
                <c:pt idx="76">
                  <c:v>2.1112800000000001E-2</c:v>
                </c:pt>
                <c:pt idx="77">
                  <c:v>2.1390599999999999E-2</c:v>
                </c:pt>
                <c:pt idx="78">
                  <c:v>2.1668400000000001E-2</c:v>
                </c:pt>
                <c:pt idx="79">
                  <c:v>2.1946199999999999E-2</c:v>
                </c:pt>
                <c:pt idx="80">
                  <c:v>2.2224000000000001E-2</c:v>
                </c:pt>
                <c:pt idx="81">
                  <c:v>2.2501799999999999E-2</c:v>
                </c:pt>
                <c:pt idx="82">
                  <c:v>2.2779600000000001E-2</c:v>
                </c:pt>
                <c:pt idx="83">
                  <c:v>2.3057399999999999E-2</c:v>
                </c:pt>
                <c:pt idx="84">
                  <c:v>2.33352E-2</c:v>
                </c:pt>
                <c:pt idx="85">
                  <c:v>2.3612999999999999E-2</c:v>
                </c:pt>
                <c:pt idx="86">
                  <c:v>2.38908E-2</c:v>
                </c:pt>
                <c:pt idx="87">
                  <c:v>2.4168599999999998E-2</c:v>
                </c:pt>
                <c:pt idx="88">
                  <c:v>2.44464E-2</c:v>
                </c:pt>
                <c:pt idx="89">
                  <c:v>2.4724200000000002E-2</c:v>
                </c:pt>
                <c:pt idx="90">
                  <c:v>2.5002E-2</c:v>
                </c:pt>
                <c:pt idx="91">
                  <c:v>2.5279800000000002E-2</c:v>
                </c:pt>
                <c:pt idx="92">
                  <c:v>2.55576E-2</c:v>
                </c:pt>
                <c:pt idx="93">
                  <c:v>2.5835400000000001E-2</c:v>
                </c:pt>
                <c:pt idx="94">
                  <c:v>2.61132E-2</c:v>
                </c:pt>
                <c:pt idx="95">
                  <c:v>2.6391000000000001E-2</c:v>
                </c:pt>
                <c:pt idx="96">
                  <c:v>2.6668799999999999E-2</c:v>
                </c:pt>
                <c:pt idx="97">
                  <c:v>2.6946600000000001E-2</c:v>
                </c:pt>
                <c:pt idx="98">
                  <c:v>2.7224399999999999E-2</c:v>
                </c:pt>
                <c:pt idx="99">
                  <c:v>2.7502200000000001E-2</c:v>
                </c:pt>
                <c:pt idx="100">
                  <c:v>2.7779999999999999E-2</c:v>
                </c:pt>
                <c:pt idx="101">
                  <c:v>2.8057800000000001E-2</c:v>
                </c:pt>
                <c:pt idx="102">
                  <c:v>2.8335599999999999E-2</c:v>
                </c:pt>
                <c:pt idx="103">
                  <c:v>2.8613400000000001E-2</c:v>
                </c:pt>
                <c:pt idx="104">
                  <c:v>2.8891199999999999E-2</c:v>
                </c:pt>
                <c:pt idx="105">
                  <c:v>2.9169E-2</c:v>
                </c:pt>
                <c:pt idx="106">
                  <c:v>2.9446799999999999E-2</c:v>
                </c:pt>
                <c:pt idx="107">
                  <c:v>2.97246E-2</c:v>
                </c:pt>
                <c:pt idx="108">
                  <c:v>3.0002399999999999E-2</c:v>
                </c:pt>
                <c:pt idx="109">
                  <c:v>3.02802E-2</c:v>
                </c:pt>
                <c:pt idx="110">
                  <c:v>3.0557999999999998E-2</c:v>
                </c:pt>
                <c:pt idx="111">
                  <c:v>3.08358E-2</c:v>
                </c:pt>
                <c:pt idx="112">
                  <c:v>3.1113600000000002E-2</c:v>
                </c:pt>
                <c:pt idx="113">
                  <c:v>3.13914E-2</c:v>
                </c:pt>
                <c:pt idx="114">
                  <c:v>3.1669200000000002E-2</c:v>
                </c:pt>
                <c:pt idx="115">
                  <c:v>3.1947000000000003E-2</c:v>
                </c:pt>
                <c:pt idx="116">
                  <c:v>3.2224799999999998E-2</c:v>
                </c:pt>
                <c:pt idx="117">
                  <c:v>3.25026E-2</c:v>
                </c:pt>
                <c:pt idx="118">
                  <c:v>3.2780400000000001E-2</c:v>
                </c:pt>
                <c:pt idx="119">
                  <c:v>3.3058200000000003E-2</c:v>
                </c:pt>
                <c:pt idx="120">
                  <c:v>3.3335999999999998E-2</c:v>
                </c:pt>
                <c:pt idx="121">
                  <c:v>3.3613799999999999E-2</c:v>
                </c:pt>
                <c:pt idx="122">
                  <c:v>3.3891600000000001E-2</c:v>
                </c:pt>
                <c:pt idx="123">
                  <c:v>3.4169400000000003E-2</c:v>
                </c:pt>
                <c:pt idx="124">
                  <c:v>3.4447199999999997E-2</c:v>
                </c:pt>
                <c:pt idx="125">
                  <c:v>3.4724999999999999E-2</c:v>
                </c:pt>
                <c:pt idx="126">
                  <c:v>3.5002800000000001E-2</c:v>
                </c:pt>
                <c:pt idx="127">
                  <c:v>3.5280600000000002E-2</c:v>
                </c:pt>
                <c:pt idx="128">
                  <c:v>3.5558399999999997E-2</c:v>
                </c:pt>
                <c:pt idx="129">
                  <c:v>3.5836199999999999E-2</c:v>
                </c:pt>
                <c:pt idx="130">
                  <c:v>3.6114E-2</c:v>
                </c:pt>
                <c:pt idx="131">
                  <c:v>3.6391800000000002E-2</c:v>
                </c:pt>
                <c:pt idx="132">
                  <c:v>3.6669599999999997E-2</c:v>
                </c:pt>
                <c:pt idx="133">
                  <c:v>3.6947399999999998E-2</c:v>
                </c:pt>
                <c:pt idx="134">
                  <c:v>3.72252E-2</c:v>
                </c:pt>
                <c:pt idx="135">
                  <c:v>3.7503000000000002E-2</c:v>
                </c:pt>
                <c:pt idx="136">
                  <c:v>3.7780800000000003E-2</c:v>
                </c:pt>
                <c:pt idx="137">
                  <c:v>3.8058599999999998E-2</c:v>
                </c:pt>
                <c:pt idx="138">
                  <c:v>3.83364E-2</c:v>
                </c:pt>
                <c:pt idx="139">
                  <c:v>3.8614200000000001E-2</c:v>
                </c:pt>
                <c:pt idx="140">
                  <c:v>3.8892000000000003E-2</c:v>
                </c:pt>
                <c:pt idx="141">
                  <c:v>3.9169799999999998E-2</c:v>
                </c:pt>
                <c:pt idx="142">
                  <c:v>3.9447599999999999E-2</c:v>
                </c:pt>
                <c:pt idx="143">
                  <c:v>3.9725400000000001E-2</c:v>
                </c:pt>
                <c:pt idx="144">
                  <c:v>4.0003200000000003E-2</c:v>
                </c:pt>
                <c:pt idx="145">
                  <c:v>4.0280999999999997E-2</c:v>
                </c:pt>
                <c:pt idx="146">
                  <c:v>4.0558799999999999E-2</c:v>
                </c:pt>
                <c:pt idx="147">
                  <c:v>4.0836600000000001E-2</c:v>
                </c:pt>
                <c:pt idx="148">
                  <c:v>4.1114400000000002E-2</c:v>
                </c:pt>
                <c:pt idx="149">
                  <c:v>4.1392199999999997E-2</c:v>
                </c:pt>
                <c:pt idx="150">
                  <c:v>4.1669999999999999E-2</c:v>
                </c:pt>
                <c:pt idx="151">
                  <c:v>4.19478E-2</c:v>
                </c:pt>
                <c:pt idx="152">
                  <c:v>4.2225600000000002E-2</c:v>
                </c:pt>
                <c:pt idx="153">
                  <c:v>4.2503399999999997E-2</c:v>
                </c:pt>
                <c:pt idx="154">
                  <c:v>4.2781199999999998E-2</c:v>
                </c:pt>
                <c:pt idx="155">
                  <c:v>4.3059E-2</c:v>
                </c:pt>
                <c:pt idx="156">
                  <c:v>4.3336800000000002E-2</c:v>
                </c:pt>
                <c:pt idx="157">
                  <c:v>4.3614600000000003E-2</c:v>
                </c:pt>
                <c:pt idx="158">
                  <c:v>4.3892399999999998E-2</c:v>
                </c:pt>
                <c:pt idx="159">
                  <c:v>4.41702E-2</c:v>
                </c:pt>
                <c:pt idx="160">
                  <c:v>4.4448000000000001E-2</c:v>
                </c:pt>
                <c:pt idx="161">
                  <c:v>4.4725800000000003E-2</c:v>
                </c:pt>
                <c:pt idx="162">
                  <c:v>4.5003599999999998E-2</c:v>
                </c:pt>
                <c:pt idx="163">
                  <c:v>4.5281399999999999E-2</c:v>
                </c:pt>
                <c:pt idx="164">
                  <c:v>4.5559200000000001E-2</c:v>
                </c:pt>
                <c:pt idx="165">
                  <c:v>4.5837000000000003E-2</c:v>
                </c:pt>
                <c:pt idx="166">
                  <c:v>4.6114799999999997E-2</c:v>
                </c:pt>
                <c:pt idx="167">
                  <c:v>4.6392599999999999E-2</c:v>
                </c:pt>
                <c:pt idx="168">
                  <c:v>4.6670400000000001E-2</c:v>
                </c:pt>
                <c:pt idx="169">
                  <c:v>4.6948200000000002E-2</c:v>
                </c:pt>
                <c:pt idx="170">
                  <c:v>4.7225999999999997E-2</c:v>
                </c:pt>
                <c:pt idx="171">
                  <c:v>4.7503799999999999E-2</c:v>
                </c:pt>
                <c:pt idx="172">
                  <c:v>4.77816E-2</c:v>
                </c:pt>
                <c:pt idx="173">
                  <c:v>4.8059400000000002E-2</c:v>
                </c:pt>
                <c:pt idx="174">
                  <c:v>4.8337199999999997E-2</c:v>
                </c:pt>
                <c:pt idx="175">
                  <c:v>4.8614999999999998E-2</c:v>
                </c:pt>
                <c:pt idx="176">
                  <c:v>4.88928E-2</c:v>
                </c:pt>
                <c:pt idx="177">
                  <c:v>4.9170600000000002E-2</c:v>
                </c:pt>
                <c:pt idx="178">
                  <c:v>4.9448400000000003E-2</c:v>
                </c:pt>
                <c:pt idx="179">
                  <c:v>4.9726199999999998E-2</c:v>
                </c:pt>
                <c:pt idx="180">
                  <c:v>5.0004E-2</c:v>
                </c:pt>
                <c:pt idx="181">
                  <c:v>5.0281800000000001E-2</c:v>
                </c:pt>
                <c:pt idx="182">
                  <c:v>5.0559600000000003E-2</c:v>
                </c:pt>
                <c:pt idx="183">
                  <c:v>5.0837399999999998E-2</c:v>
                </c:pt>
                <c:pt idx="184">
                  <c:v>5.11152E-2</c:v>
                </c:pt>
                <c:pt idx="185">
                  <c:v>5.1393000000000001E-2</c:v>
                </c:pt>
                <c:pt idx="186">
                  <c:v>5.1670800000000003E-2</c:v>
                </c:pt>
                <c:pt idx="187">
                  <c:v>5.1948599999999998E-2</c:v>
                </c:pt>
                <c:pt idx="188">
                  <c:v>5.2226399999999999E-2</c:v>
                </c:pt>
                <c:pt idx="189">
                  <c:v>5.2504200000000001E-2</c:v>
                </c:pt>
                <c:pt idx="190">
                  <c:v>5.2782000000000003E-2</c:v>
                </c:pt>
                <c:pt idx="191">
                  <c:v>5.3059799999999997E-2</c:v>
                </c:pt>
                <c:pt idx="192">
                  <c:v>5.3337599999999999E-2</c:v>
                </c:pt>
                <c:pt idx="193">
                  <c:v>5.3615400000000001E-2</c:v>
                </c:pt>
                <c:pt idx="194">
                  <c:v>5.3893200000000002E-2</c:v>
                </c:pt>
                <c:pt idx="195">
                  <c:v>5.4170999999999997E-2</c:v>
                </c:pt>
              </c:numCache>
            </c:numRef>
          </c:xVal>
          <c:yVal>
            <c:numRef>
              <c:f>variable_inlet!$J$5:$J$200</c:f>
              <c:numCache>
                <c:formatCode>General</c:formatCode>
                <c:ptCount val="196"/>
                <c:pt idx="0">
                  <c:v>299999.7</c:v>
                </c:pt>
                <c:pt idx="1">
                  <c:v>299999.7</c:v>
                </c:pt>
                <c:pt idx="2">
                  <c:v>300456.3</c:v>
                </c:pt>
                <c:pt idx="3">
                  <c:v>301495.7</c:v>
                </c:pt>
                <c:pt idx="4">
                  <c:v>302800</c:v>
                </c:pt>
                <c:pt idx="5">
                  <c:v>303964.09999999998</c:v>
                </c:pt>
                <c:pt idx="6">
                  <c:v>304894</c:v>
                </c:pt>
                <c:pt idx="7">
                  <c:v>305968.2</c:v>
                </c:pt>
                <c:pt idx="8">
                  <c:v>307792.09999999998</c:v>
                </c:pt>
                <c:pt idx="9">
                  <c:v>308369.59999999998</c:v>
                </c:pt>
                <c:pt idx="10">
                  <c:v>309440</c:v>
                </c:pt>
                <c:pt idx="11">
                  <c:v>310546.3</c:v>
                </c:pt>
                <c:pt idx="12">
                  <c:v>311481.2</c:v>
                </c:pt>
                <c:pt idx="13">
                  <c:v>312071.2</c:v>
                </c:pt>
                <c:pt idx="14">
                  <c:v>312644.2</c:v>
                </c:pt>
                <c:pt idx="15">
                  <c:v>313196.09999999998</c:v>
                </c:pt>
                <c:pt idx="16">
                  <c:v>313542.8</c:v>
                </c:pt>
                <c:pt idx="17">
                  <c:v>313443.8</c:v>
                </c:pt>
                <c:pt idx="18">
                  <c:v>313049</c:v>
                </c:pt>
                <c:pt idx="19">
                  <c:v>312010</c:v>
                </c:pt>
                <c:pt idx="20">
                  <c:v>310614.5</c:v>
                </c:pt>
                <c:pt idx="21">
                  <c:v>309059.8</c:v>
                </c:pt>
                <c:pt idx="22">
                  <c:v>307494.2</c:v>
                </c:pt>
                <c:pt idx="23">
                  <c:v>306031.2</c:v>
                </c:pt>
                <c:pt idx="24">
                  <c:v>304930.5</c:v>
                </c:pt>
                <c:pt idx="25">
                  <c:v>303747.40000000002</c:v>
                </c:pt>
                <c:pt idx="26">
                  <c:v>302614.90000000002</c:v>
                </c:pt>
                <c:pt idx="27">
                  <c:v>301567.90000000002</c:v>
                </c:pt>
                <c:pt idx="28">
                  <c:v>301236.2</c:v>
                </c:pt>
                <c:pt idx="29">
                  <c:v>301398.8</c:v>
                </c:pt>
                <c:pt idx="30">
                  <c:v>301434.09999999998</c:v>
                </c:pt>
                <c:pt idx="31">
                  <c:v>301471.8</c:v>
                </c:pt>
                <c:pt idx="32">
                  <c:v>301510.09999999998</c:v>
                </c:pt>
                <c:pt idx="33">
                  <c:v>301540.90000000002</c:v>
                </c:pt>
                <c:pt idx="34">
                  <c:v>301559.3</c:v>
                </c:pt>
                <c:pt idx="35">
                  <c:v>301565.40000000002</c:v>
                </c:pt>
                <c:pt idx="36">
                  <c:v>301561.8</c:v>
                </c:pt>
                <c:pt idx="37">
                  <c:v>301551.7</c:v>
                </c:pt>
                <c:pt idx="38">
                  <c:v>301538.7</c:v>
                </c:pt>
                <c:pt idx="39">
                  <c:v>301525.90000000002</c:v>
                </c:pt>
                <c:pt idx="40">
                  <c:v>301516.3</c:v>
                </c:pt>
                <c:pt idx="41">
                  <c:v>301511.59999999998</c:v>
                </c:pt>
                <c:pt idx="42">
                  <c:v>301512.7</c:v>
                </c:pt>
                <c:pt idx="43">
                  <c:v>301519.09999999998</c:v>
                </c:pt>
                <c:pt idx="44">
                  <c:v>301529.5</c:v>
                </c:pt>
                <c:pt idx="45">
                  <c:v>301541.59999999998</c:v>
                </c:pt>
                <c:pt idx="46">
                  <c:v>301552.8</c:v>
                </c:pt>
                <c:pt idx="47">
                  <c:v>301561.2</c:v>
                </c:pt>
                <c:pt idx="48">
                  <c:v>301564.90000000002</c:v>
                </c:pt>
                <c:pt idx="49">
                  <c:v>301563.09999999998</c:v>
                </c:pt>
                <c:pt idx="50">
                  <c:v>301555.40000000002</c:v>
                </c:pt>
                <c:pt idx="51">
                  <c:v>301541.90000000002</c:v>
                </c:pt>
                <c:pt idx="52">
                  <c:v>301523.3</c:v>
                </c:pt>
                <c:pt idx="53">
                  <c:v>301500.3</c:v>
                </c:pt>
                <c:pt idx="54">
                  <c:v>301473.8</c:v>
                </c:pt>
                <c:pt idx="55">
                  <c:v>301444.8</c:v>
                </c:pt>
                <c:pt idx="56">
                  <c:v>301414.40000000002</c:v>
                </c:pt>
                <c:pt idx="57">
                  <c:v>301383.7</c:v>
                </c:pt>
                <c:pt idx="58">
                  <c:v>301353.40000000002</c:v>
                </c:pt>
                <c:pt idx="59">
                  <c:v>301324.7</c:v>
                </c:pt>
                <c:pt idx="60">
                  <c:v>301298</c:v>
                </c:pt>
                <c:pt idx="61">
                  <c:v>301274.09999999998</c:v>
                </c:pt>
                <c:pt idx="62">
                  <c:v>301253.5</c:v>
                </c:pt>
                <c:pt idx="63">
                  <c:v>301236.40000000002</c:v>
                </c:pt>
                <c:pt idx="64">
                  <c:v>301223.2</c:v>
                </c:pt>
                <c:pt idx="65">
                  <c:v>301214.09999999998</c:v>
                </c:pt>
                <c:pt idx="66">
                  <c:v>301209.8</c:v>
                </c:pt>
                <c:pt idx="67">
                  <c:v>301211.3</c:v>
                </c:pt>
                <c:pt idx="68">
                  <c:v>301220.90000000002</c:v>
                </c:pt>
                <c:pt idx="69">
                  <c:v>301242.09999999998</c:v>
                </c:pt>
                <c:pt idx="70">
                  <c:v>301283.8</c:v>
                </c:pt>
                <c:pt idx="71">
                  <c:v>301346.90000000002</c:v>
                </c:pt>
                <c:pt idx="72">
                  <c:v>301434.8</c:v>
                </c:pt>
                <c:pt idx="73">
                  <c:v>302041.5</c:v>
                </c:pt>
                <c:pt idx="74">
                  <c:v>303260.3</c:v>
                </c:pt>
                <c:pt idx="75">
                  <c:v>304732.5</c:v>
                </c:pt>
                <c:pt idx="76">
                  <c:v>306003.09999999998</c:v>
                </c:pt>
                <c:pt idx="77">
                  <c:v>306950.40000000002</c:v>
                </c:pt>
                <c:pt idx="78">
                  <c:v>307985.5</c:v>
                </c:pt>
                <c:pt idx="79">
                  <c:v>308813.09999999998</c:v>
                </c:pt>
                <c:pt idx="80">
                  <c:v>309392.59999999998</c:v>
                </c:pt>
                <c:pt idx="81">
                  <c:v>309886.90000000002</c:v>
                </c:pt>
                <c:pt idx="82">
                  <c:v>310624.90000000002</c:v>
                </c:pt>
                <c:pt idx="83">
                  <c:v>311416.7</c:v>
                </c:pt>
                <c:pt idx="84">
                  <c:v>312052.2</c:v>
                </c:pt>
                <c:pt idx="85">
                  <c:v>312345.2</c:v>
                </c:pt>
                <c:pt idx="86">
                  <c:v>312644</c:v>
                </c:pt>
                <c:pt idx="87">
                  <c:v>312926.3</c:v>
                </c:pt>
                <c:pt idx="88">
                  <c:v>312971.8</c:v>
                </c:pt>
                <c:pt idx="89">
                  <c:v>312545.3</c:v>
                </c:pt>
                <c:pt idx="90">
                  <c:v>311867.59999999998</c:v>
                </c:pt>
                <c:pt idx="91">
                  <c:v>310625.7</c:v>
                </c:pt>
                <c:pt idx="92">
                  <c:v>309036.7</c:v>
                </c:pt>
                <c:pt idx="93">
                  <c:v>307265.90000000002</c:v>
                </c:pt>
                <c:pt idx="94">
                  <c:v>305481.40000000002</c:v>
                </c:pt>
                <c:pt idx="95">
                  <c:v>303839.2</c:v>
                </c:pt>
                <c:pt idx="96">
                  <c:v>302606.2</c:v>
                </c:pt>
                <c:pt idx="97">
                  <c:v>301307.5</c:v>
                </c:pt>
                <c:pt idx="98">
                  <c:v>300076.2</c:v>
                </c:pt>
                <c:pt idx="99">
                  <c:v>298957.09999999998</c:v>
                </c:pt>
                <c:pt idx="100">
                  <c:v>298587.09999999998</c:v>
                </c:pt>
                <c:pt idx="101">
                  <c:v>298714.8</c:v>
                </c:pt>
                <c:pt idx="102">
                  <c:v>298716</c:v>
                </c:pt>
                <c:pt idx="103">
                  <c:v>298722.8</c:v>
                </c:pt>
                <c:pt idx="104">
                  <c:v>298731.09999999998</c:v>
                </c:pt>
                <c:pt idx="105">
                  <c:v>298731.8</c:v>
                </c:pt>
                <c:pt idx="106">
                  <c:v>298722.2</c:v>
                </c:pt>
                <c:pt idx="107">
                  <c:v>298703.3</c:v>
                </c:pt>
                <c:pt idx="108">
                  <c:v>298677.2</c:v>
                </c:pt>
                <c:pt idx="109">
                  <c:v>298646.09999999998</c:v>
                </c:pt>
                <c:pt idx="110">
                  <c:v>298612.2</c:v>
                </c:pt>
                <c:pt idx="111">
                  <c:v>298577.40000000002</c:v>
                </c:pt>
                <c:pt idx="112">
                  <c:v>298542.8</c:v>
                </c:pt>
                <c:pt idx="113">
                  <c:v>298509.2</c:v>
                </c:pt>
                <c:pt idx="114">
                  <c:v>298477</c:v>
                </c:pt>
                <c:pt idx="115">
                  <c:v>298446</c:v>
                </c:pt>
                <c:pt idx="116">
                  <c:v>298416</c:v>
                </c:pt>
                <c:pt idx="117">
                  <c:v>298386.7</c:v>
                </c:pt>
                <c:pt idx="118">
                  <c:v>298357.8</c:v>
                </c:pt>
                <c:pt idx="119">
                  <c:v>298328.8</c:v>
                </c:pt>
                <c:pt idx="120">
                  <c:v>298299.59999999998</c:v>
                </c:pt>
                <c:pt idx="121">
                  <c:v>298269.8</c:v>
                </c:pt>
                <c:pt idx="122">
                  <c:v>298239.40000000002</c:v>
                </c:pt>
                <c:pt idx="123">
                  <c:v>298208.40000000002</c:v>
                </c:pt>
                <c:pt idx="124">
                  <c:v>298176.8</c:v>
                </c:pt>
                <c:pt idx="125">
                  <c:v>298144.59999999998</c:v>
                </c:pt>
                <c:pt idx="126">
                  <c:v>298112.09999999998</c:v>
                </c:pt>
                <c:pt idx="127">
                  <c:v>298079.2</c:v>
                </c:pt>
                <c:pt idx="128">
                  <c:v>298046</c:v>
                </c:pt>
                <c:pt idx="129">
                  <c:v>298012.40000000002</c:v>
                </c:pt>
                <c:pt idx="130">
                  <c:v>297978.5</c:v>
                </c:pt>
                <c:pt idx="131">
                  <c:v>297944.2</c:v>
                </c:pt>
                <c:pt idx="132">
                  <c:v>297909.3</c:v>
                </c:pt>
                <c:pt idx="133">
                  <c:v>297873.7</c:v>
                </c:pt>
                <c:pt idx="134">
                  <c:v>297837</c:v>
                </c:pt>
                <c:pt idx="135">
                  <c:v>297798.59999999998</c:v>
                </c:pt>
                <c:pt idx="136">
                  <c:v>297758.09999999998</c:v>
                </c:pt>
                <c:pt idx="137">
                  <c:v>297715.20000000001</c:v>
                </c:pt>
                <c:pt idx="138">
                  <c:v>297670</c:v>
                </c:pt>
                <c:pt idx="139">
                  <c:v>297623.2</c:v>
                </c:pt>
                <c:pt idx="140">
                  <c:v>297575.90000000002</c:v>
                </c:pt>
                <c:pt idx="141">
                  <c:v>297529.5</c:v>
                </c:pt>
                <c:pt idx="142">
                  <c:v>297485.2</c:v>
                </c:pt>
                <c:pt idx="143">
                  <c:v>297451.09999999998</c:v>
                </c:pt>
                <c:pt idx="144">
                  <c:v>297413.09999999998</c:v>
                </c:pt>
                <c:pt idx="145">
                  <c:v>297823.40000000002</c:v>
                </c:pt>
                <c:pt idx="146">
                  <c:v>298811.59999999998</c:v>
                </c:pt>
                <c:pt idx="147">
                  <c:v>300082</c:v>
                </c:pt>
                <c:pt idx="148">
                  <c:v>301241.7</c:v>
                </c:pt>
                <c:pt idx="149">
                  <c:v>302192.09999999998</c:v>
                </c:pt>
                <c:pt idx="150">
                  <c:v>303325.7</c:v>
                </c:pt>
                <c:pt idx="151">
                  <c:v>304312.59999999998</c:v>
                </c:pt>
                <c:pt idx="152">
                  <c:v>305070.2</c:v>
                </c:pt>
                <c:pt idx="153">
                  <c:v>305779.20000000001</c:v>
                </c:pt>
                <c:pt idx="154">
                  <c:v>306773.8</c:v>
                </c:pt>
                <c:pt idx="155">
                  <c:v>307823.3</c:v>
                </c:pt>
                <c:pt idx="156">
                  <c:v>308700.59999999998</c:v>
                </c:pt>
                <c:pt idx="157">
                  <c:v>309202.90000000002</c:v>
                </c:pt>
                <c:pt idx="158">
                  <c:v>309666.8</c:v>
                </c:pt>
                <c:pt idx="159">
                  <c:v>310086.2</c:v>
                </c:pt>
                <c:pt idx="160">
                  <c:v>310284.09999999998</c:v>
                </c:pt>
                <c:pt idx="161">
                  <c:v>310058.5</c:v>
                </c:pt>
                <c:pt idx="162">
                  <c:v>309587.90000000002</c:v>
                </c:pt>
                <c:pt idx="163">
                  <c:v>308503</c:v>
                </c:pt>
                <c:pt idx="164">
                  <c:v>307065.3</c:v>
                </c:pt>
                <c:pt idx="165">
                  <c:v>305479.8</c:v>
                </c:pt>
                <c:pt idx="166">
                  <c:v>303879.90000000002</c:v>
                </c:pt>
                <c:pt idx="167">
                  <c:v>302370.90000000002</c:v>
                </c:pt>
                <c:pt idx="168">
                  <c:v>301223.2</c:v>
                </c:pt>
                <c:pt idx="169">
                  <c:v>299994.7</c:v>
                </c:pt>
                <c:pt idx="170">
                  <c:v>298824.40000000002</c:v>
                </c:pt>
                <c:pt idx="171">
                  <c:v>297758.40000000002</c:v>
                </c:pt>
                <c:pt idx="172">
                  <c:v>297425.40000000002</c:v>
                </c:pt>
                <c:pt idx="173">
                  <c:v>297586</c:v>
                </c:pt>
                <c:pt idx="174">
                  <c:v>297623</c:v>
                </c:pt>
                <c:pt idx="175">
                  <c:v>297665.8</c:v>
                </c:pt>
                <c:pt idx="176">
                  <c:v>297713</c:v>
                </c:pt>
                <c:pt idx="177">
                  <c:v>297756</c:v>
                </c:pt>
                <c:pt idx="178">
                  <c:v>297789.7</c:v>
                </c:pt>
                <c:pt idx="179">
                  <c:v>297813.7</c:v>
                </c:pt>
                <c:pt idx="180">
                  <c:v>297830</c:v>
                </c:pt>
                <c:pt idx="181">
                  <c:v>297841.59999999998</c:v>
                </c:pt>
                <c:pt idx="182">
                  <c:v>297851.09999999998</c:v>
                </c:pt>
                <c:pt idx="183">
                  <c:v>297861</c:v>
                </c:pt>
                <c:pt idx="184">
                  <c:v>297873.40000000002</c:v>
                </c:pt>
                <c:pt idx="185">
                  <c:v>297889.2</c:v>
                </c:pt>
                <c:pt idx="186">
                  <c:v>297908.59999999998</c:v>
                </c:pt>
                <c:pt idx="187">
                  <c:v>297930.2</c:v>
                </c:pt>
                <c:pt idx="188">
                  <c:v>297952.2</c:v>
                </c:pt>
                <c:pt idx="189">
                  <c:v>297972.09999999998</c:v>
                </c:pt>
                <c:pt idx="190">
                  <c:v>297987.8</c:v>
                </c:pt>
                <c:pt idx="191">
                  <c:v>297997.59999999998</c:v>
                </c:pt>
                <c:pt idx="192">
                  <c:v>298000.5</c:v>
                </c:pt>
                <c:pt idx="193">
                  <c:v>297996.2</c:v>
                </c:pt>
                <c:pt idx="194">
                  <c:v>297985.09999999998</c:v>
                </c:pt>
                <c:pt idx="195">
                  <c:v>297967.5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600-4781-82B5-A3FFD40CC66D}"/>
            </c:ext>
          </c:extLst>
        </c:ser>
        <c:ser>
          <c:idx val="3"/>
          <c:order val="3"/>
          <c:tx>
            <c:strRef>
              <c:f>variable_inlet!$M$1</c:f>
              <c:strCache>
                <c:ptCount val="1"/>
                <c:pt idx="0">
                  <c:v>3 kierownice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variable_inlet!$L$5:$L$200</c:f>
              <c:numCache>
                <c:formatCode>General</c:formatCode>
                <c:ptCount val="196"/>
                <c:pt idx="0">
                  <c:v>0</c:v>
                </c:pt>
                <c:pt idx="1">
                  <c:v>2.7779999999999998E-4</c:v>
                </c:pt>
                <c:pt idx="2">
                  <c:v>5.5559999999999995E-4</c:v>
                </c:pt>
                <c:pt idx="3">
                  <c:v>8.3339989999999995E-4</c:v>
                </c:pt>
                <c:pt idx="4">
                  <c:v>1.1111999999999999E-3</c:v>
                </c:pt>
                <c:pt idx="5">
                  <c:v>1.389E-3</c:v>
                </c:pt>
                <c:pt idx="6">
                  <c:v>1.6668E-3</c:v>
                </c:pt>
                <c:pt idx="7">
                  <c:v>1.9446000000000001E-3</c:v>
                </c:pt>
                <c:pt idx="8">
                  <c:v>2.2223999999999998E-3</c:v>
                </c:pt>
                <c:pt idx="9">
                  <c:v>2.5002000000000002E-3</c:v>
                </c:pt>
                <c:pt idx="10">
                  <c:v>2.7780000000000001E-3</c:v>
                </c:pt>
                <c:pt idx="11">
                  <c:v>3.0558E-3</c:v>
                </c:pt>
                <c:pt idx="12">
                  <c:v>3.3335999999999999E-3</c:v>
                </c:pt>
                <c:pt idx="13">
                  <c:v>3.6113999999999999E-3</c:v>
                </c:pt>
                <c:pt idx="14">
                  <c:v>3.8892000000000002E-3</c:v>
                </c:pt>
                <c:pt idx="15">
                  <c:v>4.1669999999999997E-3</c:v>
                </c:pt>
                <c:pt idx="16">
                  <c:v>4.4447999999999996E-3</c:v>
                </c:pt>
                <c:pt idx="17">
                  <c:v>4.7226000000000004E-3</c:v>
                </c:pt>
                <c:pt idx="18">
                  <c:v>5.0004000000000003E-3</c:v>
                </c:pt>
                <c:pt idx="19">
                  <c:v>5.2782000000000003E-3</c:v>
                </c:pt>
                <c:pt idx="20">
                  <c:v>5.5560000000000002E-3</c:v>
                </c:pt>
                <c:pt idx="21">
                  <c:v>5.8338000000000001E-3</c:v>
                </c:pt>
                <c:pt idx="22">
                  <c:v>6.1116E-3</c:v>
                </c:pt>
                <c:pt idx="23">
                  <c:v>6.3893999999999999E-3</c:v>
                </c:pt>
                <c:pt idx="24">
                  <c:v>6.6671999999999999E-3</c:v>
                </c:pt>
                <c:pt idx="25">
                  <c:v>6.9449999999999998E-3</c:v>
                </c:pt>
                <c:pt idx="26">
                  <c:v>7.2227999999999997E-3</c:v>
                </c:pt>
                <c:pt idx="27">
                  <c:v>7.5005999999999996E-3</c:v>
                </c:pt>
                <c:pt idx="28">
                  <c:v>7.7784000000000004E-3</c:v>
                </c:pt>
                <c:pt idx="29">
                  <c:v>8.0561999999999995E-3</c:v>
                </c:pt>
                <c:pt idx="30">
                  <c:v>8.3339999999999994E-3</c:v>
                </c:pt>
                <c:pt idx="31">
                  <c:v>8.6117999999999993E-3</c:v>
                </c:pt>
                <c:pt idx="32">
                  <c:v>8.8895999999999992E-3</c:v>
                </c:pt>
                <c:pt idx="33">
                  <c:v>9.1673989999999997E-3</c:v>
                </c:pt>
                <c:pt idx="34">
                  <c:v>9.4452000000000008E-3</c:v>
                </c:pt>
                <c:pt idx="35">
                  <c:v>9.7229989999999995E-3</c:v>
                </c:pt>
                <c:pt idx="36">
                  <c:v>1.0000800000000001E-2</c:v>
                </c:pt>
                <c:pt idx="37">
                  <c:v>1.0278600000000001E-2</c:v>
                </c:pt>
                <c:pt idx="38">
                  <c:v>1.0556400000000001E-2</c:v>
                </c:pt>
                <c:pt idx="39">
                  <c:v>1.08342E-2</c:v>
                </c:pt>
                <c:pt idx="40">
                  <c:v>1.1112E-2</c:v>
                </c:pt>
                <c:pt idx="41">
                  <c:v>1.13898E-2</c:v>
                </c:pt>
                <c:pt idx="42">
                  <c:v>1.16676E-2</c:v>
                </c:pt>
                <c:pt idx="43">
                  <c:v>1.19454E-2</c:v>
                </c:pt>
                <c:pt idx="44">
                  <c:v>1.22232E-2</c:v>
                </c:pt>
                <c:pt idx="45">
                  <c:v>1.2501E-2</c:v>
                </c:pt>
                <c:pt idx="46">
                  <c:v>1.27788E-2</c:v>
                </c:pt>
                <c:pt idx="47">
                  <c:v>1.30566E-2</c:v>
                </c:pt>
                <c:pt idx="48">
                  <c:v>1.33344E-2</c:v>
                </c:pt>
                <c:pt idx="49">
                  <c:v>1.36122E-2</c:v>
                </c:pt>
                <c:pt idx="50">
                  <c:v>1.389E-2</c:v>
                </c:pt>
                <c:pt idx="51">
                  <c:v>1.4167799999999999E-2</c:v>
                </c:pt>
                <c:pt idx="52">
                  <c:v>1.4445599999999999E-2</c:v>
                </c:pt>
                <c:pt idx="53">
                  <c:v>1.4723399999999999E-2</c:v>
                </c:pt>
                <c:pt idx="54">
                  <c:v>1.5001199999999999E-2</c:v>
                </c:pt>
                <c:pt idx="55">
                  <c:v>1.5278999999999999E-2</c:v>
                </c:pt>
                <c:pt idx="56">
                  <c:v>1.5556800000000001E-2</c:v>
                </c:pt>
                <c:pt idx="57">
                  <c:v>1.5834600000000001E-2</c:v>
                </c:pt>
                <c:pt idx="58">
                  <c:v>1.6112399999999999E-2</c:v>
                </c:pt>
                <c:pt idx="59">
                  <c:v>1.6390200000000001E-2</c:v>
                </c:pt>
                <c:pt idx="60">
                  <c:v>1.6667999999999999E-2</c:v>
                </c:pt>
                <c:pt idx="61">
                  <c:v>1.69458E-2</c:v>
                </c:pt>
                <c:pt idx="62">
                  <c:v>1.7223599999999999E-2</c:v>
                </c:pt>
                <c:pt idx="63">
                  <c:v>1.75014E-2</c:v>
                </c:pt>
                <c:pt idx="64">
                  <c:v>1.7779199999999998E-2</c:v>
                </c:pt>
                <c:pt idx="65">
                  <c:v>1.8057E-2</c:v>
                </c:pt>
                <c:pt idx="66">
                  <c:v>1.8334799999999998E-2</c:v>
                </c:pt>
                <c:pt idx="67">
                  <c:v>1.86126E-2</c:v>
                </c:pt>
                <c:pt idx="68">
                  <c:v>1.8890400000000002E-2</c:v>
                </c:pt>
                <c:pt idx="69">
                  <c:v>1.91682E-2</c:v>
                </c:pt>
                <c:pt idx="70">
                  <c:v>1.9446000000000001E-2</c:v>
                </c:pt>
                <c:pt idx="71">
                  <c:v>1.97238E-2</c:v>
                </c:pt>
                <c:pt idx="72">
                  <c:v>2.0001600000000001E-2</c:v>
                </c:pt>
                <c:pt idx="73">
                  <c:v>2.02794E-2</c:v>
                </c:pt>
                <c:pt idx="74">
                  <c:v>2.0557200000000001E-2</c:v>
                </c:pt>
                <c:pt idx="75">
                  <c:v>2.0834999999999999E-2</c:v>
                </c:pt>
                <c:pt idx="76">
                  <c:v>2.1112800000000001E-2</c:v>
                </c:pt>
                <c:pt idx="77">
                  <c:v>2.1390599999999999E-2</c:v>
                </c:pt>
                <c:pt idx="78">
                  <c:v>2.1668400000000001E-2</c:v>
                </c:pt>
                <c:pt idx="79">
                  <c:v>2.1946199999999999E-2</c:v>
                </c:pt>
                <c:pt idx="80">
                  <c:v>2.2224000000000001E-2</c:v>
                </c:pt>
                <c:pt idx="81">
                  <c:v>2.2501799999999999E-2</c:v>
                </c:pt>
                <c:pt idx="82">
                  <c:v>2.2779600000000001E-2</c:v>
                </c:pt>
                <c:pt idx="83">
                  <c:v>2.3057399999999999E-2</c:v>
                </c:pt>
                <c:pt idx="84">
                  <c:v>2.33352E-2</c:v>
                </c:pt>
                <c:pt idx="85">
                  <c:v>2.3612999999999999E-2</c:v>
                </c:pt>
                <c:pt idx="86">
                  <c:v>2.38908E-2</c:v>
                </c:pt>
                <c:pt idx="87">
                  <c:v>2.4168599999999998E-2</c:v>
                </c:pt>
                <c:pt idx="88">
                  <c:v>2.44464E-2</c:v>
                </c:pt>
                <c:pt idx="89">
                  <c:v>2.4724200000000002E-2</c:v>
                </c:pt>
                <c:pt idx="90">
                  <c:v>2.5002E-2</c:v>
                </c:pt>
                <c:pt idx="91">
                  <c:v>2.5279800000000002E-2</c:v>
                </c:pt>
                <c:pt idx="92">
                  <c:v>2.55576E-2</c:v>
                </c:pt>
                <c:pt idx="93">
                  <c:v>2.5835400000000001E-2</c:v>
                </c:pt>
                <c:pt idx="94">
                  <c:v>2.61132E-2</c:v>
                </c:pt>
                <c:pt idx="95">
                  <c:v>2.6391000000000001E-2</c:v>
                </c:pt>
                <c:pt idx="96">
                  <c:v>2.6668799999999999E-2</c:v>
                </c:pt>
                <c:pt idx="97">
                  <c:v>2.6946600000000001E-2</c:v>
                </c:pt>
                <c:pt idx="98">
                  <c:v>2.7224399999999999E-2</c:v>
                </c:pt>
                <c:pt idx="99">
                  <c:v>2.7502200000000001E-2</c:v>
                </c:pt>
                <c:pt idx="100">
                  <c:v>2.7779999999999999E-2</c:v>
                </c:pt>
                <c:pt idx="101">
                  <c:v>2.8057800000000001E-2</c:v>
                </c:pt>
                <c:pt idx="102">
                  <c:v>2.8335599999999999E-2</c:v>
                </c:pt>
                <c:pt idx="103">
                  <c:v>2.8613400000000001E-2</c:v>
                </c:pt>
                <c:pt idx="104">
                  <c:v>2.8891199999999999E-2</c:v>
                </c:pt>
                <c:pt idx="105">
                  <c:v>2.9169E-2</c:v>
                </c:pt>
                <c:pt idx="106">
                  <c:v>2.9446799999999999E-2</c:v>
                </c:pt>
                <c:pt idx="107">
                  <c:v>2.97246E-2</c:v>
                </c:pt>
                <c:pt idx="108">
                  <c:v>3.0002399999999999E-2</c:v>
                </c:pt>
                <c:pt idx="109">
                  <c:v>3.02802E-2</c:v>
                </c:pt>
                <c:pt idx="110">
                  <c:v>3.0557999999999998E-2</c:v>
                </c:pt>
                <c:pt idx="111">
                  <c:v>3.08358E-2</c:v>
                </c:pt>
                <c:pt idx="112">
                  <c:v>3.1113600000000002E-2</c:v>
                </c:pt>
                <c:pt idx="113">
                  <c:v>3.13914E-2</c:v>
                </c:pt>
                <c:pt idx="114">
                  <c:v>3.1669200000000002E-2</c:v>
                </c:pt>
                <c:pt idx="115">
                  <c:v>3.1947000000000003E-2</c:v>
                </c:pt>
                <c:pt idx="116">
                  <c:v>3.2224799999999998E-2</c:v>
                </c:pt>
                <c:pt idx="117">
                  <c:v>3.25026E-2</c:v>
                </c:pt>
                <c:pt idx="118">
                  <c:v>3.2780400000000001E-2</c:v>
                </c:pt>
                <c:pt idx="119">
                  <c:v>3.3058200000000003E-2</c:v>
                </c:pt>
                <c:pt idx="120">
                  <c:v>3.3335999999999998E-2</c:v>
                </c:pt>
                <c:pt idx="121">
                  <c:v>3.3613799999999999E-2</c:v>
                </c:pt>
                <c:pt idx="122">
                  <c:v>3.3891600000000001E-2</c:v>
                </c:pt>
                <c:pt idx="123">
                  <c:v>3.4169400000000003E-2</c:v>
                </c:pt>
                <c:pt idx="124">
                  <c:v>3.4447199999999997E-2</c:v>
                </c:pt>
                <c:pt idx="125">
                  <c:v>3.4724999999999999E-2</c:v>
                </c:pt>
                <c:pt idx="126">
                  <c:v>3.5002800000000001E-2</c:v>
                </c:pt>
                <c:pt idx="127">
                  <c:v>3.5280600000000002E-2</c:v>
                </c:pt>
                <c:pt idx="128">
                  <c:v>3.5558399999999997E-2</c:v>
                </c:pt>
                <c:pt idx="129">
                  <c:v>3.5836199999999999E-2</c:v>
                </c:pt>
                <c:pt idx="130">
                  <c:v>3.6114E-2</c:v>
                </c:pt>
                <c:pt idx="131">
                  <c:v>3.6391800000000002E-2</c:v>
                </c:pt>
                <c:pt idx="132">
                  <c:v>3.6669599999999997E-2</c:v>
                </c:pt>
                <c:pt idx="133">
                  <c:v>3.6947399999999998E-2</c:v>
                </c:pt>
                <c:pt idx="134">
                  <c:v>3.72252E-2</c:v>
                </c:pt>
                <c:pt idx="135">
                  <c:v>3.7503000000000002E-2</c:v>
                </c:pt>
                <c:pt idx="136">
                  <c:v>3.7780800000000003E-2</c:v>
                </c:pt>
                <c:pt idx="137">
                  <c:v>3.8058599999999998E-2</c:v>
                </c:pt>
                <c:pt idx="138">
                  <c:v>3.83364E-2</c:v>
                </c:pt>
                <c:pt idx="139">
                  <c:v>3.8614200000000001E-2</c:v>
                </c:pt>
                <c:pt idx="140">
                  <c:v>3.8892000000000003E-2</c:v>
                </c:pt>
                <c:pt idx="141">
                  <c:v>3.9169799999999998E-2</c:v>
                </c:pt>
                <c:pt idx="142">
                  <c:v>3.9447599999999999E-2</c:v>
                </c:pt>
                <c:pt idx="143">
                  <c:v>3.9725400000000001E-2</c:v>
                </c:pt>
                <c:pt idx="144">
                  <c:v>4.0003200000000003E-2</c:v>
                </c:pt>
                <c:pt idx="145">
                  <c:v>4.0280999999999997E-2</c:v>
                </c:pt>
                <c:pt idx="146">
                  <c:v>4.0558799999999999E-2</c:v>
                </c:pt>
                <c:pt idx="147">
                  <c:v>4.0836600000000001E-2</c:v>
                </c:pt>
                <c:pt idx="148">
                  <c:v>4.1114400000000002E-2</c:v>
                </c:pt>
                <c:pt idx="149">
                  <c:v>4.1392199999999997E-2</c:v>
                </c:pt>
                <c:pt idx="150">
                  <c:v>4.1669999999999999E-2</c:v>
                </c:pt>
                <c:pt idx="151">
                  <c:v>4.19478E-2</c:v>
                </c:pt>
                <c:pt idx="152">
                  <c:v>4.2225600000000002E-2</c:v>
                </c:pt>
                <c:pt idx="153">
                  <c:v>4.2503399999999997E-2</c:v>
                </c:pt>
                <c:pt idx="154">
                  <c:v>4.2781199999999998E-2</c:v>
                </c:pt>
                <c:pt idx="155">
                  <c:v>4.3059E-2</c:v>
                </c:pt>
                <c:pt idx="156">
                  <c:v>4.3336800000000002E-2</c:v>
                </c:pt>
                <c:pt idx="157">
                  <c:v>4.3614600000000003E-2</c:v>
                </c:pt>
                <c:pt idx="158">
                  <c:v>4.3892399999999998E-2</c:v>
                </c:pt>
                <c:pt idx="159">
                  <c:v>4.41702E-2</c:v>
                </c:pt>
                <c:pt idx="160">
                  <c:v>4.4448000000000001E-2</c:v>
                </c:pt>
                <c:pt idx="161">
                  <c:v>4.4725800000000003E-2</c:v>
                </c:pt>
                <c:pt idx="162">
                  <c:v>4.5003599999999998E-2</c:v>
                </c:pt>
                <c:pt idx="163">
                  <c:v>4.5281399999999999E-2</c:v>
                </c:pt>
                <c:pt idx="164">
                  <c:v>4.5559200000000001E-2</c:v>
                </c:pt>
                <c:pt idx="165">
                  <c:v>4.5837000000000003E-2</c:v>
                </c:pt>
                <c:pt idx="166">
                  <c:v>4.6114799999999997E-2</c:v>
                </c:pt>
                <c:pt idx="167">
                  <c:v>4.6392599999999999E-2</c:v>
                </c:pt>
                <c:pt idx="168">
                  <c:v>4.6670400000000001E-2</c:v>
                </c:pt>
                <c:pt idx="169">
                  <c:v>4.6948200000000002E-2</c:v>
                </c:pt>
                <c:pt idx="170">
                  <c:v>4.7225999999999997E-2</c:v>
                </c:pt>
                <c:pt idx="171">
                  <c:v>4.7503799999999999E-2</c:v>
                </c:pt>
                <c:pt idx="172">
                  <c:v>4.77816E-2</c:v>
                </c:pt>
                <c:pt idx="173">
                  <c:v>4.8059400000000002E-2</c:v>
                </c:pt>
                <c:pt idx="174">
                  <c:v>4.8337199999999997E-2</c:v>
                </c:pt>
                <c:pt idx="175">
                  <c:v>4.8614999999999998E-2</c:v>
                </c:pt>
                <c:pt idx="176">
                  <c:v>4.88928E-2</c:v>
                </c:pt>
                <c:pt idx="177">
                  <c:v>4.9170600000000002E-2</c:v>
                </c:pt>
                <c:pt idx="178">
                  <c:v>4.9448400000000003E-2</c:v>
                </c:pt>
                <c:pt idx="179">
                  <c:v>4.9726199999999998E-2</c:v>
                </c:pt>
                <c:pt idx="180">
                  <c:v>5.0004E-2</c:v>
                </c:pt>
                <c:pt idx="181">
                  <c:v>5.0281800000000001E-2</c:v>
                </c:pt>
                <c:pt idx="182">
                  <c:v>5.0559600000000003E-2</c:v>
                </c:pt>
                <c:pt idx="183">
                  <c:v>5.0837399999999998E-2</c:v>
                </c:pt>
                <c:pt idx="184">
                  <c:v>5.11152E-2</c:v>
                </c:pt>
                <c:pt idx="185">
                  <c:v>5.1393000000000001E-2</c:v>
                </c:pt>
                <c:pt idx="186">
                  <c:v>5.1670800000000003E-2</c:v>
                </c:pt>
                <c:pt idx="187">
                  <c:v>5.1948599999999998E-2</c:v>
                </c:pt>
                <c:pt idx="188">
                  <c:v>5.2226399999999999E-2</c:v>
                </c:pt>
                <c:pt idx="189">
                  <c:v>5.2504200000000001E-2</c:v>
                </c:pt>
                <c:pt idx="190">
                  <c:v>5.2782000000000003E-2</c:v>
                </c:pt>
                <c:pt idx="191">
                  <c:v>5.3059799999999997E-2</c:v>
                </c:pt>
                <c:pt idx="192">
                  <c:v>5.3337599999999999E-2</c:v>
                </c:pt>
                <c:pt idx="193">
                  <c:v>5.3615400000000001E-2</c:v>
                </c:pt>
                <c:pt idx="194">
                  <c:v>5.3893200000000002E-2</c:v>
                </c:pt>
                <c:pt idx="195">
                  <c:v>5.4170999999999997E-2</c:v>
                </c:pt>
              </c:numCache>
            </c:numRef>
          </c:xVal>
          <c:yVal>
            <c:numRef>
              <c:f>variable_inlet!$N$5:$N$200</c:f>
              <c:numCache>
                <c:formatCode>General</c:formatCode>
                <c:ptCount val="196"/>
                <c:pt idx="0">
                  <c:v>300000.09999999998</c:v>
                </c:pt>
                <c:pt idx="1">
                  <c:v>300000.09999999998</c:v>
                </c:pt>
                <c:pt idx="2">
                  <c:v>300453.5</c:v>
                </c:pt>
                <c:pt idx="3">
                  <c:v>301489.59999999998</c:v>
                </c:pt>
                <c:pt idx="4">
                  <c:v>302789.09999999998</c:v>
                </c:pt>
                <c:pt idx="5">
                  <c:v>303936.2</c:v>
                </c:pt>
                <c:pt idx="6">
                  <c:v>304838.7</c:v>
                </c:pt>
                <c:pt idx="7">
                  <c:v>305895.90000000002</c:v>
                </c:pt>
                <c:pt idx="8">
                  <c:v>307698.5</c:v>
                </c:pt>
                <c:pt idx="9">
                  <c:v>308278.5</c:v>
                </c:pt>
                <c:pt idx="10">
                  <c:v>309340.5</c:v>
                </c:pt>
                <c:pt idx="11">
                  <c:v>310441.90000000002</c:v>
                </c:pt>
                <c:pt idx="12">
                  <c:v>311376.59999999998</c:v>
                </c:pt>
                <c:pt idx="13">
                  <c:v>311970.7</c:v>
                </c:pt>
                <c:pt idx="14">
                  <c:v>312546.8</c:v>
                </c:pt>
                <c:pt idx="15">
                  <c:v>313102.8</c:v>
                </c:pt>
                <c:pt idx="16">
                  <c:v>313455.5</c:v>
                </c:pt>
                <c:pt idx="17">
                  <c:v>313365.40000000002</c:v>
                </c:pt>
                <c:pt idx="18">
                  <c:v>312978.40000000002</c:v>
                </c:pt>
                <c:pt idx="19">
                  <c:v>311948.3</c:v>
                </c:pt>
                <c:pt idx="20">
                  <c:v>310559.40000000002</c:v>
                </c:pt>
                <c:pt idx="21">
                  <c:v>309009.09999999998</c:v>
                </c:pt>
                <c:pt idx="22">
                  <c:v>307446.3</c:v>
                </c:pt>
                <c:pt idx="23">
                  <c:v>305983.8</c:v>
                </c:pt>
                <c:pt idx="24">
                  <c:v>304881.3</c:v>
                </c:pt>
                <c:pt idx="25">
                  <c:v>303688.5</c:v>
                </c:pt>
                <c:pt idx="26">
                  <c:v>302557.09999999998</c:v>
                </c:pt>
                <c:pt idx="27">
                  <c:v>301516.90000000002</c:v>
                </c:pt>
                <c:pt idx="28">
                  <c:v>301185.8</c:v>
                </c:pt>
                <c:pt idx="29">
                  <c:v>301350.3</c:v>
                </c:pt>
                <c:pt idx="30">
                  <c:v>301385.59999999998</c:v>
                </c:pt>
                <c:pt idx="31">
                  <c:v>301419.5</c:v>
                </c:pt>
                <c:pt idx="32">
                  <c:v>301448.40000000002</c:v>
                </c:pt>
                <c:pt idx="33">
                  <c:v>301466.8</c:v>
                </c:pt>
                <c:pt idx="34">
                  <c:v>301471.2</c:v>
                </c:pt>
                <c:pt idx="35">
                  <c:v>301462.2</c:v>
                </c:pt>
                <c:pt idx="36">
                  <c:v>301441.90000000002</c:v>
                </c:pt>
                <c:pt idx="37">
                  <c:v>301412.5</c:v>
                </c:pt>
                <c:pt idx="38">
                  <c:v>301376</c:v>
                </c:pt>
                <c:pt idx="39">
                  <c:v>301334.59999999998</c:v>
                </c:pt>
                <c:pt idx="40">
                  <c:v>301290.2</c:v>
                </c:pt>
                <c:pt idx="41">
                  <c:v>301244.40000000002</c:v>
                </c:pt>
                <c:pt idx="42">
                  <c:v>301198.5</c:v>
                </c:pt>
                <c:pt idx="43">
                  <c:v>301153.2</c:v>
                </c:pt>
                <c:pt idx="44">
                  <c:v>301109.59999999998</c:v>
                </c:pt>
                <c:pt idx="45">
                  <c:v>301067.90000000002</c:v>
                </c:pt>
                <c:pt idx="46">
                  <c:v>301028.5</c:v>
                </c:pt>
                <c:pt idx="47">
                  <c:v>300991.40000000002</c:v>
                </c:pt>
                <c:pt idx="48">
                  <c:v>300956.59999999998</c:v>
                </c:pt>
                <c:pt idx="49">
                  <c:v>300923.8</c:v>
                </c:pt>
                <c:pt idx="50">
                  <c:v>300892.90000000002</c:v>
                </c:pt>
                <c:pt idx="51">
                  <c:v>300863.5</c:v>
                </c:pt>
                <c:pt idx="52">
                  <c:v>300835.40000000002</c:v>
                </c:pt>
                <c:pt idx="53">
                  <c:v>300808.40000000002</c:v>
                </c:pt>
                <c:pt idx="54">
                  <c:v>300782.5</c:v>
                </c:pt>
                <c:pt idx="55">
                  <c:v>300757.59999999998</c:v>
                </c:pt>
                <c:pt idx="56">
                  <c:v>300734.2</c:v>
                </c:pt>
                <c:pt idx="57">
                  <c:v>300712.7</c:v>
                </c:pt>
                <c:pt idx="58">
                  <c:v>300694</c:v>
                </c:pt>
                <c:pt idx="59">
                  <c:v>300679.40000000002</c:v>
                </c:pt>
                <c:pt idx="60">
                  <c:v>300671.09999999998</c:v>
                </c:pt>
                <c:pt idx="61">
                  <c:v>300672</c:v>
                </c:pt>
                <c:pt idx="62">
                  <c:v>300686.40000000002</c:v>
                </c:pt>
                <c:pt idx="63">
                  <c:v>300718.09999999998</c:v>
                </c:pt>
                <c:pt idx="64">
                  <c:v>300767.40000000002</c:v>
                </c:pt>
                <c:pt idx="65">
                  <c:v>300830.59999999998</c:v>
                </c:pt>
                <c:pt idx="66">
                  <c:v>300902.2</c:v>
                </c:pt>
                <c:pt idx="67">
                  <c:v>300978</c:v>
                </c:pt>
                <c:pt idx="68">
                  <c:v>301054.40000000002</c:v>
                </c:pt>
                <c:pt idx="69">
                  <c:v>301128.3</c:v>
                </c:pt>
                <c:pt idx="70">
                  <c:v>301201.3</c:v>
                </c:pt>
                <c:pt idx="71">
                  <c:v>301269</c:v>
                </c:pt>
                <c:pt idx="72">
                  <c:v>301332.3</c:v>
                </c:pt>
                <c:pt idx="73">
                  <c:v>301879.09999999998</c:v>
                </c:pt>
                <c:pt idx="74">
                  <c:v>303007.5</c:v>
                </c:pt>
                <c:pt idx="75">
                  <c:v>304371.59999999998</c:v>
                </c:pt>
                <c:pt idx="76">
                  <c:v>305548.09999999998</c:v>
                </c:pt>
                <c:pt idx="77">
                  <c:v>306415.90000000002</c:v>
                </c:pt>
                <c:pt idx="78">
                  <c:v>307416.8</c:v>
                </c:pt>
                <c:pt idx="79">
                  <c:v>308244.2</c:v>
                </c:pt>
                <c:pt idx="80">
                  <c:v>308840.8</c:v>
                </c:pt>
                <c:pt idx="81">
                  <c:v>309346.40000000002</c:v>
                </c:pt>
                <c:pt idx="82">
                  <c:v>310080.59999999998</c:v>
                </c:pt>
                <c:pt idx="83">
                  <c:v>310858.7</c:v>
                </c:pt>
                <c:pt idx="84">
                  <c:v>311475.90000000002</c:v>
                </c:pt>
                <c:pt idx="85">
                  <c:v>311748.09999999998</c:v>
                </c:pt>
                <c:pt idx="86">
                  <c:v>312022.3</c:v>
                </c:pt>
                <c:pt idx="87">
                  <c:v>312282.3</c:v>
                </c:pt>
                <c:pt idx="88">
                  <c:v>312318.5</c:v>
                </c:pt>
                <c:pt idx="89">
                  <c:v>311904.8</c:v>
                </c:pt>
                <c:pt idx="90">
                  <c:v>311262</c:v>
                </c:pt>
                <c:pt idx="91">
                  <c:v>310080.5</c:v>
                </c:pt>
                <c:pt idx="92">
                  <c:v>308574.2</c:v>
                </c:pt>
                <c:pt idx="93">
                  <c:v>306904.59999999998</c:v>
                </c:pt>
                <c:pt idx="94">
                  <c:v>305231.7</c:v>
                </c:pt>
                <c:pt idx="95">
                  <c:v>303700</c:v>
                </c:pt>
                <c:pt idx="96">
                  <c:v>302565.59999999998</c:v>
                </c:pt>
                <c:pt idx="97">
                  <c:v>301339.59999999998</c:v>
                </c:pt>
                <c:pt idx="98">
                  <c:v>300173.90000000002</c:v>
                </c:pt>
                <c:pt idx="99">
                  <c:v>299116.7</c:v>
                </c:pt>
                <c:pt idx="100">
                  <c:v>298793.8</c:v>
                </c:pt>
                <c:pt idx="101">
                  <c:v>298959.2</c:v>
                </c:pt>
                <c:pt idx="102">
                  <c:v>298996.8</c:v>
                </c:pt>
                <c:pt idx="103">
                  <c:v>299034.09999999998</c:v>
                </c:pt>
                <c:pt idx="104">
                  <c:v>299068.7</c:v>
                </c:pt>
                <c:pt idx="105">
                  <c:v>299094.8</c:v>
                </c:pt>
                <c:pt idx="106">
                  <c:v>299108.90000000002</c:v>
                </c:pt>
                <c:pt idx="107">
                  <c:v>299111.40000000002</c:v>
                </c:pt>
                <c:pt idx="108">
                  <c:v>299103.8</c:v>
                </c:pt>
                <c:pt idx="109">
                  <c:v>299087.7</c:v>
                </c:pt>
                <c:pt idx="110">
                  <c:v>299064.3</c:v>
                </c:pt>
                <c:pt idx="111">
                  <c:v>299035.2</c:v>
                </c:pt>
                <c:pt idx="112">
                  <c:v>299001.59999999998</c:v>
                </c:pt>
                <c:pt idx="113">
                  <c:v>298964.7</c:v>
                </c:pt>
                <c:pt idx="114">
                  <c:v>298925.2</c:v>
                </c:pt>
                <c:pt idx="115">
                  <c:v>298884.2</c:v>
                </c:pt>
                <c:pt idx="116">
                  <c:v>298842</c:v>
                </c:pt>
                <c:pt idx="117">
                  <c:v>298799.2</c:v>
                </c:pt>
                <c:pt idx="118">
                  <c:v>298756.09999999998</c:v>
                </c:pt>
                <c:pt idx="119">
                  <c:v>298713.2</c:v>
                </c:pt>
                <c:pt idx="120">
                  <c:v>298670.7</c:v>
                </c:pt>
                <c:pt idx="121">
                  <c:v>298628.59999999998</c:v>
                </c:pt>
                <c:pt idx="122">
                  <c:v>298587</c:v>
                </c:pt>
                <c:pt idx="123">
                  <c:v>298545.8</c:v>
                </c:pt>
                <c:pt idx="124">
                  <c:v>298504.7</c:v>
                </c:pt>
                <c:pt idx="125">
                  <c:v>298463.40000000002</c:v>
                </c:pt>
                <c:pt idx="126">
                  <c:v>298421.7</c:v>
                </c:pt>
                <c:pt idx="127">
                  <c:v>298379</c:v>
                </c:pt>
                <c:pt idx="128">
                  <c:v>298335.09999999998</c:v>
                </c:pt>
                <c:pt idx="129">
                  <c:v>298289.5</c:v>
                </c:pt>
                <c:pt idx="130">
                  <c:v>298242</c:v>
                </c:pt>
                <c:pt idx="131">
                  <c:v>298192.2</c:v>
                </c:pt>
                <c:pt idx="132">
                  <c:v>298140.09999999998</c:v>
                </c:pt>
                <c:pt idx="133">
                  <c:v>298085.59999999998</c:v>
                </c:pt>
                <c:pt idx="134">
                  <c:v>298029.3</c:v>
                </c:pt>
                <c:pt idx="135">
                  <c:v>297971.8</c:v>
                </c:pt>
                <c:pt idx="136">
                  <c:v>297914.2</c:v>
                </c:pt>
                <c:pt idx="137">
                  <c:v>297857.2</c:v>
                </c:pt>
                <c:pt idx="138">
                  <c:v>297801.5</c:v>
                </c:pt>
                <c:pt idx="139">
                  <c:v>297747.59999999998</c:v>
                </c:pt>
                <c:pt idx="140">
                  <c:v>297695.8</c:v>
                </c:pt>
                <c:pt idx="141">
                  <c:v>297646.5</c:v>
                </c:pt>
                <c:pt idx="142">
                  <c:v>297599.8</c:v>
                </c:pt>
                <c:pt idx="143">
                  <c:v>297562.5</c:v>
                </c:pt>
                <c:pt idx="144">
                  <c:v>297521.40000000002</c:v>
                </c:pt>
                <c:pt idx="145">
                  <c:v>297917.2</c:v>
                </c:pt>
                <c:pt idx="146">
                  <c:v>298891.7</c:v>
                </c:pt>
                <c:pt idx="147">
                  <c:v>300143.09999999998</c:v>
                </c:pt>
                <c:pt idx="148">
                  <c:v>301271.90000000002</c:v>
                </c:pt>
                <c:pt idx="149">
                  <c:v>302185.2</c:v>
                </c:pt>
                <c:pt idx="150">
                  <c:v>303285.09999999998</c:v>
                </c:pt>
                <c:pt idx="151">
                  <c:v>304255</c:v>
                </c:pt>
                <c:pt idx="152">
                  <c:v>305014.09999999998</c:v>
                </c:pt>
                <c:pt idx="153">
                  <c:v>305742.59999999998</c:v>
                </c:pt>
                <c:pt idx="154">
                  <c:v>306768.90000000002</c:v>
                </c:pt>
                <c:pt idx="155">
                  <c:v>307860.09999999998</c:v>
                </c:pt>
                <c:pt idx="156">
                  <c:v>308784.7</c:v>
                </c:pt>
                <c:pt idx="157">
                  <c:v>309336.7</c:v>
                </c:pt>
                <c:pt idx="158">
                  <c:v>309845.59999999998</c:v>
                </c:pt>
                <c:pt idx="159">
                  <c:v>310304.5</c:v>
                </c:pt>
                <c:pt idx="160">
                  <c:v>310533.09999999998</c:v>
                </c:pt>
                <c:pt idx="161">
                  <c:v>310323.8</c:v>
                </c:pt>
                <c:pt idx="162">
                  <c:v>309847.3</c:v>
                </c:pt>
                <c:pt idx="163">
                  <c:v>308742.7</c:v>
                </c:pt>
                <c:pt idx="164">
                  <c:v>307283.90000000002</c:v>
                </c:pt>
                <c:pt idx="165">
                  <c:v>305692.2</c:v>
                </c:pt>
                <c:pt idx="166">
                  <c:v>304106.40000000002</c:v>
                </c:pt>
                <c:pt idx="167">
                  <c:v>302624.59999999998</c:v>
                </c:pt>
                <c:pt idx="168">
                  <c:v>301506.7</c:v>
                </c:pt>
                <c:pt idx="169">
                  <c:v>300295.3</c:v>
                </c:pt>
                <c:pt idx="170">
                  <c:v>299148</c:v>
                </c:pt>
                <c:pt idx="171">
                  <c:v>298105.7</c:v>
                </c:pt>
                <c:pt idx="172">
                  <c:v>297785.90000000002</c:v>
                </c:pt>
                <c:pt idx="173">
                  <c:v>297957.3</c:v>
                </c:pt>
                <c:pt idx="174">
                  <c:v>298002.90000000002</c:v>
                </c:pt>
                <c:pt idx="175">
                  <c:v>298049.5</c:v>
                </c:pt>
                <c:pt idx="176">
                  <c:v>298094.7</c:v>
                </c:pt>
                <c:pt idx="177">
                  <c:v>298133.40000000002</c:v>
                </c:pt>
                <c:pt idx="178">
                  <c:v>298162.09999999998</c:v>
                </c:pt>
                <c:pt idx="179">
                  <c:v>298180.09999999998</c:v>
                </c:pt>
                <c:pt idx="180">
                  <c:v>298189</c:v>
                </c:pt>
                <c:pt idx="181">
                  <c:v>298190.59999999998</c:v>
                </c:pt>
                <c:pt idx="182">
                  <c:v>298186.40000000002</c:v>
                </c:pt>
                <c:pt idx="183">
                  <c:v>298178.40000000002</c:v>
                </c:pt>
                <c:pt idx="184">
                  <c:v>298168.09999999998</c:v>
                </c:pt>
                <c:pt idx="185">
                  <c:v>298156.79999999999</c:v>
                </c:pt>
                <c:pt idx="186">
                  <c:v>298145.5</c:v>
                </c:pt>
                <c:pt idx="187">
                  <c:v>298134.90000000002</c:v>
                </c:pt>
                <c:pt idx="188">
                  <c:v>298125.2</c:v>
                </c:pt>
                <c:pt idx="189">
                  <c:v>298116.3</c:v>
                </c:pt>
                <c:pt idx="190">
                  <c:v>298107.90000000002</c:v>
                </c:pt>
                <c:pt idx="191">
                  <c:v>298099.20000000001</c:v>
                </c:pt>
                <c:pt idx="192">
                  <c:v>298089.7</c:v>
                </c:pt>
                <c:pt idx="193">
                  <c:v>298078.59999999998</c:v>
                </c:pt>
                <c:pt idx="194">
                  <c:v>298065.40000000002</c:v>
                </c:pt>
                <c:pt idx="195">
                  <c:v>298049.7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133-4F03-AF2B-E118592D7735}"/>
            </c:ext>
          </c:extLst>
        </c:ser>
        <c:ser>
          <c:idx val="4"/>
          <c:order val="4"/>
          <c:tx>
            <c:strRef>
              <c:f>variable_inlet!$R$4</c:f>
              <c:strCache>
                <c:ptCount val="1"/>
                <c:pt idx="0">
                  <c:v>static U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variable_inlet!$P$6:$P$200</c:f>
              <c:numCache>
                <c:formatCode>General</c:formatCode>
                <c:ptCount val="195"/>
                <c:pt idx="0">
                  <c:v>2.7779999999999998E-4</c:v>
                </c:pt>
                <c:pt idx="1">
                  <c:v>5.5559999999999995E-4</c:v>
                </c:pt>
                <c:pt idx="2">
                  <c:v>8.3339989999999995E-4</c:v>
                </c:pt>
                <c:pt idx="3">
                  <c:v>1.1111999999999999E-3</c:v>
                </c:pt>
                <c:pt idx="4">
                  <c:v>1.389E-3</c:v>
                </c:pt>
                <c:pt idx="5">
                  <c:v>1.6668E-3</c:v>
                </c:pt>
                <c:pt idx="6">
                  <c:v>1.9446000000000001E-3</c:v>
                </c:pt>
                <c:pt idx="7">
                  <c:v>2.2223999999999998E-3</c:v>
                </c:pt>
                <c:pt idx="8">
                  <c:v>2.5002000000000002E-3</c:v>
                </c:pt>
                <c:pt idx="9">
                  <c:v>2.7780000000000001E-3</c:v>
                </c:pt>
                <c:pt idx="10">
                  <c:v>3.0558E-3</c:v>
                </c:pt>
                <c:pt idx="11">
                  <c:v>3.3335999999999999E-3</c:v>
                </c:pt>
                <c:pt idx="12">
                  <c:v>3.6113999999999999E-3</c:v>
                </c:pt>
                <c:pt idx="13">
                  <c:v>3.8892000000000002E-3</c:v>
                </c:pt>
                <c:pt idx="14">
                  <c:v>4.1669999999999997E-3</c:v>
                </c:pt>
                <c:pt idx="15">
                  <c:v>4.4447999999999996E-3</c:v>
                </c:pt>
                <c:pt idx="16">
                  <c:v>4.7226000000000004E-3</c:v>
                </c:pt>
                <c:pt idx="17">
                  <c:v>5.0004000000000003E-3</c:v>
                </c:pt>
                <c:pt idx="18">
                  <c:v>5.2782000000000003E-3</c:v>
                </c:pt>
                <c:pt idx="19">
                  <c:v>5.5560000000000002E-3</c:v>
                </c:pt>
                <c:pt idx="20">
                  <c:v>5.8338000000000001E-3</c:v>
                </c:pt>
                <c:pt idx="21">
                  <c:v>6.1116E-3</c:v>
                </c:pt>
                <c:pt idx="22">
                  <c:v>6.3893999999999999E-3</c:v>
                </c:pt>
                <c:pt idx="23">
                  <c:v>6.6671999999999999E-3</c:v>
                </c:pt>
                <c:pt idx="24">
                  <c:v>6.9449999999999998E-3</c:v>
                </c:pt>
                <c:pt idx="25">
                  <c:v>7.2227999999999997E-3</c:v>
                </c:pt>
                <c:pt idx="26">
                  <c:v>7.5005999999999996E-3</c:v>
                </c:pt>
                <c:pt idx="27">
                  <c:v>7.7784000000000004E-3</c:v>
                </c:pt>
                <c:pt idx="28">
                  <c:v>8.0561999999999995E-3</c:v>
                </c:pt>
                <c:pt idx="29">
                  <c:v>8.3339999999999994E-3</c:v>
                </c:pt>
                <c:pt idx="30">
                  <c:v>8.6117999999999993E-3</c:v>
                </c:pt>
                <c:pt idx="31">
                  <c:v>8.8895999999999992E-3</c:v>
                </c:pt>
                <c:pt idx="32">
                  <c:v>9.1673989999999997E-3</c:v>
                </c:pt>
                <c:pt idx="33">
                  <c:v>9.4452000000000008E-3</c:v>
                </c:pt>
                <c:pt idx="34">
                  <c:v>9.7229989999999995E-3</c:v>
                </c:pt>
                <c:pt idx="35">
                  <c:v>1.0000800000000001E-2</c:v>
                </c:pt>
                <c:pt idx="36">
                  <c:v>1.0278600000000001E-2</c:v>
                </c:pt>
                <c:pt idx="37">
                  <c:v>1.0556400000000001E-2</c:v>
                </c:pt>
                <c:pt idx="38">
                  <c:v>1.08342E-2</c:v>
                </c:pt>
                <c:pt idx="39">
                  <c:v>1.1112E-2</c:v>
                </c:pt>
                <c:pt idx="40">
                  <c:v>1.13898E-2</c:v>
                </c:pt>
                <c:pt idx="41">
                  <c:v>1.16676E-2</c:v>
                </c:pt>
                <c:pt idx="42">
                  <c:v>1.19454E-2</c:v>
                </c:pt>
                <c:pt idx="43">
                  <c:v>1.22232E-2</c:v>
                </c:pt>
                <c:pt idx="44">
                  <c:v>1.2501E-2</c:v>
                </c:pt>
                <c:pt idx="45">
                  <c:v>1.27788E-2</c:v>
                </c:pt>
                <c:pt idx="46">
                  <c:v>1.30566E-2</c:v>
                </c:pt>
                <c:pt idx="47">
                  <c:v>1.33344E-2</c:v>
                </c:pt>
                <c:pt idx="48">
                  <c:v>1.36122E-2</c:v>
                </c:pt>
                <c:pt idx="49">
                  <c:v>1.389E-2</c:v>
                </c:pt>
                <c:pt idx="50">
                  <c:v>1.4167799999999999E-2</c:v>
                </c:pt>
                <c:pt idx="51">
                  <c:v>1.4445599999999999E-2</c:v>
                </c:pt>
                <c:pt idx="52">
                  <c:v>1.4723399999999999E-2</c:v>
                </c:pt>
                <c:pt idx="53">
                  <c:v>1.5001199999999999E-2</c:v>
                </c:pt>
                <c:pt idx="54">
                  <c:v>1.5278999999999999E-2</c:v>
                </c:pt>
                <c:pt idx="55">
                  <c:v>1.5556800000000001E-2</c:v>
                </c:pt>
                <c:pt idx="56">
                  <c:v>1.5834600000000001E-2</c:v>
                </c:pt>
                <c:pt idx="57">
                  <c:v>1.6112399999999999E-2</c:v>
                </c:pt>
                <c:pt idx="58">
                  <c:v>1.6390200000000001E-2</c:v>
                </c:pt>
                <c:pt idx="59">
                  <c:v>1.6667999999999999E-2</c:v>
                </c:pt>
                <c:pt idx="60">
                  <c:v>1.69458E-2</c:v>
                </c:pt>
                <c:pt idx="61">
                  <c:v>1.7223599999999999E-2</c:v>
                </c:pt>
                <c:pt idx="62">
                  <c:v>1.75014E-2</c:v>
                </c:pt>
                <c:pt idx="63">
                  <c:v>1.7779199999999998E-2</c:v>
                </c:pt>
                <c:pt idx="64">
                  <c:v>1.8057E-2</c:v>
                </c:pt>
                <c:pt idx="65">
                  <c:v>1.8334799999999998E-2</c:v>
                </c:pt>
                <c:pt idx="66">
                  <c:v>1.86126E-2</c:v>
                </c:pt>
                <c:pt idx="67">
                  <c:v>1.8890400000000002E-2</c:v>
                </c:pt>
                <c:pt idx="68">
                  <c:v>1.91682E-2</c:v>
                </c:pt>
                <c:pt idx="69">
                  <c:v>1.9446000000000001E-2</c:v>
                </c:pt>
                <c:pt idx="70">
                  <c:v>1.97238E-2</c:v>
                </c:pt>
                <c:pt idx="71">
                  <c:v>2.0001600000000001E-2</c:v>
                </c:pt>
                <c:pt idx="72">
                  <c:v>2.02794E-2</c:v>
                </c:pt>
                <c:pt idx="73">
                  <c:v>2.0557200000000001E-2</c:v>
                </c:pt>
                <c:pt idx="74">
                  <c:v>2.0834999999999999E-2</c:v>
                </c:pt>
                <c:pt idx="75">
                  <c:v>2.1112800000000001E-2</c:v>
                </c:pt>
                <c:pt idx="76">
                  <c:v>2.1390599999999999E-2</c:v>
                </c:pt>
                <c:pt idx="77">
                  <c:v>2.1668400000000001E-2</c:v>
                </c:pt>
                <c:pt idx="78">
                  <c:v>2.1946199999999999E-2</c:v>
                </c:pt>
                <c:pt idx="79">
                  <c:v>2.2224000000000001E-2</c:v>
                </c:pt>
                <c:pt idx="80">
                  <c:v>2.2501799999999999E-2</c:v>
                </c:pt>
                <c:pt idx="81">
                  <c:v>2.2779600000000001E-2</c:v>
                </c:pt>
                <c:pt idx="82">
                  <c:v>2.3057399999999999E-2</c:v>
                </c:pt>
                <c:pt idx="83">
                  <c:v>2.33352E-2</c:v>
                </c:pt>
                <c:pt idx="84">
                  <c:v>2.3612999999999999E-2</c:v>
                </c:pt>
                <c:pt idx="85">
                  <c:v>2.38908E-2</c:v>
                </c:pt>
                <c:pt idx="86">
                  <c:v>2.4168599999999998E-2</c:v>
                </c:pt>
                <c:pt idx="87">
                  <c:v>2.44464E-2</c:v>
                </c:pt>
                <c:pt idx="88">
                  <c:v>2.4724200000000002E-2</c:v>
                </c:pt>
                <c:pt idx="89">
                  <c:v>2.5002E-2</c:v>
                </c:pt>
                <c:pt idx="90">
                  <c:v>2.5279800000000002E-2</c:v>
                </c:pt>
                <c:pt idx="91">
                  <c:v>2.55576E-2</c:v>
                </c:pt>
                <c:pt idx="92">
                  <c:v>2.5835400000000001E-2</c:v>
                </c:pt>
                <c:pt idx="93">
                  <c:v>2.61132E-2</c:v>
                </c:pt>
                <c:pt idx="94">
                  <c:v>2.6391000000000001E-2</c:v>
                </c:pt>
                <c:pt idx="95">
                  <c:v>2.6668799999999999E-2</c:v>
                </c:pt>
                <c:pt idx="96">
                  <c:v>2.6946600000000001E-2</c:v>
                </c:pt>
                <c:pt idx="97">
                  <c:v>2.7224399999999999E-2</c:v>
                </c:pt>
                <c:pt idx="98">
                  <c:v>2.7502200000000001E-2</c:v>
                </c:pt>
                <c:pt idx="99">
                  <c:v>2.7779999999999999E-2</c:v>
                </c:pt>
                <c:pt idx="100">
                  <c:v>2.8057800000000001E-2</c:v>
                </c:pt>
                <c:pt idx="101">
                  <c:v>2.8335599999999999E-2</c:v>
                </c:pt>
                <c:pt idx="102">
                  <c:v>2.8613400000000001E-2</c:v>
                </c:pt>
                <c:pt idx="103">
                  <c:v>2.8891199999999999E-2</c:v>
                </c:pt>
                <c:pt idx="104">
                  <c:v>2.9169E-2</c:v>
                </c:pt>
                <c:pt idx="105">
                  <c:v>2.9446799999999999E-2</c:v>
                </c:pt>
                <c:pt idx="106">
                  <c:v>2.97246E-2</c:v>
                </c:pt>
                <c:pt idx="107">
                  <c:v>3.0002399999999999E-2</c:v>
                </c:pt>
                <c:pt idx="108">
                  <c:v>3.02802E-2</c:v>
                </c:pt>
                <c:pt idx="109">
                  <c:v>3.0557999999999998E-2</c:v>
                </c:pt>
                <c:pt idx="110">
                  <c:v>3.08358E-2</c:v>
                </c:pt>
                <c:pt idx="111">
                  <c:v>3.1113600000000002E-2</c:v>
                </c:pt>
                <c:pt idx="112">
                  <c:v>3.13914E-2</c:v>
                </c:pt>
                <c:pt idx="113">
                  <c:v>3.1669200000000002E-2</c:v>
                </c:pt>
                <c:pt idx="114">
                  <c:v>3.1947000000000003E-2</c:v>
                </c:pt>
                <c:pt idx="115">
                  <c:v>3.2224799999999998E-2</c:v>
                </c:pt>
                <c:pt idx="116">
                  <c:v>3.25026E-2</c:v>
                </c:pt>
                <c:pt idx="117">
                  <c:v>3.2780400000000001E-2</c:v>
                </c:pt>
                <c:pt idx="118">
                  <c:v>3.3058200000000003E-2</c:v>
                </c:pt>
                <c:pt idx="119">
                  <c:v>3.3335999999999998E-2</c:v>
                </c:pt>
                <c:pt idx="120">
                  <c:v>3.3613799999999999E-2</c:v>
                </c:pt>
                <c:pt idx="121">
                  <c:v>3.3891600000000001E-2</c:v>
                </c:pt>
                <c:pt idx="122">
                  <c:v>3.4169400000000003E-2</c:v>
                </c:pt>
                <c:pt idx="123">
                  <c:v>3.4447199999999997E-2</c:v>
                </c:pt>
                <c:pt idx="124">
                  <c:v>3.4724999999999999E-2</c:v>
                </c:pt>
                <c:pt idx="125">
                  <c:v>3.5002800000000001E-2</c:v>
                </c:pt>
                <c:pt idx="126">
                  <c:v>3.5280600000000002E-2</c:v>
                </c:pt>
                <c:pt idx="127">
                  <c:v>3.5558399999999997E-2</c:v>
                </c:pt>
                <c:pt idx="128">
                  <c:v>3.5836199999999999E-2</c:v>
                </c:pt>
                <c:pt idx="129">
                  <c:v>3.6114E-2</c:v>
                </c:pt>
                <c:pt idx="130">
                  <c:v>3.6391800000000002E-2</c:v>
                </c:pt>
                <c:pt idx="131">
                  <c:v>3.6669599999999997E-2</c:v>
                </c:pt>
                <c:pt idx="132">
                  <c:v>3.6947399999999998E-2</c:v>
                </c:pt>
                <c:pt idx="133">
                  <c:v>3.72252E-2</c:v>
                </c:pt>
                <c:pt idx="134">
                  <c:v>3.7503000000000002E-2</c:v>
                </c:pt>
                <c:pt idx="135">
                  <c:v>3.7780800000000003E-2</c:v>
                </c:pt>
                <c:pt idx="136">
                  <c:v>3.8058599999999998E-2</c:v>
                </c:pt>
                <c:pt idx="137">
                  <c:v>3.83364E-2</c:v>
                </c:pt>
                <c:pt idx="138">
                  <c:v>3.8614200000000001E-2</c:v>
                </c:pt>
                <c:pt idx="139">
                  <c:v>3.8892000000000003E-2</c:v>
                </c:pt>
                <c:pt idx="140">
                  <c:v>3.9169799999999998E-2</c:v>
                </c:pt>
                <c:pt idx="141">
                  <c:v>3.9447599999999999E-2</c:v>
                </c:pt>
                <c:pt idx="142">
                  <c:v>3.9725400000000001E-2</c:v>
                </c:pt>
                <c:pt idx="143">
                  <c:v>4.0003200000000003E-2</c:v>
                </c:pt>
                <c:pt idx="144">
                  <c:v>4.0280999999999997E-2</c:v>
                </c:pt>
                <c:pt idx="145">
                  <c:v>4.0558799999999999E-2</c:v>
                </c:pt>
                <c:pt idx="146">
                  <c:v>4.0836600000000001E-2</c:v>
                </c:pt>
                <c:pt idx="147">
                  <c:v>4.1114400000000002E-2</c:v>
                </c:pt>
                <c:pt idx="148">
                  <c:v>4.1392199999999997E-2</c:v>
                </c:pt>
                <c:pt idx="149">
                  <c:v>4.1669999999999999E-2</c:v>
                </c:pt>
                <c:pt idx="150">
                  <c:v>4.19478E-2</c:v>
                </c:pt>
                <c:pt idx="151">
                  <c:v>4.2225600000000002E-2</c:v>
                </c:pt>
                <c:pt idx="152">
                  <c:v>4.2503399999999997E-2</c:v>
                </c:pt>
                <c:pt idx="153">
                  <c:v>4.2781199999999998E-2</c:v>
                </c:pt>
                <c:pt idx="154">
                  <c:v>4.3059E-2</c:v>
                </c:pt>
                <c:pt idx="155">
                  <c:v>4.3336800000000002E-2</c:v>
                </c:pt>
                <c:pt idx="156">
                  <c:v>4.3614600000000003E-2</c:v>
                </c:pt>
                <c:pt idx="157">
                  <c:v>4.3892399999999998E-2</c:v>
                </c:pt>
                <c:pt idx="158">
                  <c:v>4.41702E-2</c:v>
                </c:pt>
                <c:pt idx="159">
                  <c:v>4.4448000000000001E-2</c:v>
                </c:pt>
                <c:pt idx="160">
                  <c:v>4.4725800000000003E-2</c:v>
                </c:pt>
                <c:pt idx="161">
                  <c:v>4.5003599999999998E-2</c:v>
                </c:pt>
                <c:pt idx="162">
                  <c:v>4.5281399999999999E-2</c:v>
                </c:pt>
                <c:pt idx="163">
                  <c:v>4.5559200000000001E-2</c:v>
                </c:pt>
                <c:pt idx="164">
                  <c:v>4.5837000000000003E-2</c:v>
                </c:pt>
                <c:pt idx="165">
                  <c:v>4.6114799999999997E-2</c:v>
                </c:pt>
                <c:pt idx="166">
                  <c:v>4.6392599999999999E-2</c:v>
                </c:pt>
                <c:pt idx="167">
                  <c:v>4.6670400000000001E-2</c:v>
                </c:pt>
                <c:pt idx="168">
                  <c:v>4.6948200000000002E-2</c:v>
                </c:pt>
                <c:pt idx="169">
                  <c:v>4.7225999999999997E-2</c:v>
                </c:pt>
                <c:pt idx="170">
                  <c:v>4.7503799999999999E-2</c:v>
                </c:pt>
                <c:pt idx="171">
                  <c:v>4.77816E-2</c:v>
                </c:pt>
                <c:pt idx="172">
                  <c:v>4.8059400000000002E-2</c:v>
                </c:pt>
                <c:pt idx="173">
                  <c:v>4.8337199999999997E-2</c:v>
                </c:pt>
                <c:pt idx="174">
                  <c:v>4.8614999999999998E-2</c:v>
                </c:pt>
                <c:pt idx="175">
                  <c:v>4.88928E-2</c:v>
                </c:pt>
                <c:pt idx="176">
                  <c:v>4.9170600000000002E-2</c:v>
                </c:pt>
                <c:pt idx="177">
                  <c:v>4.9448400000000003E-2</c:v>
                </c:pt>
                <c:pt idx="178">
                  <c:v>4.9726199999999998E-2</c:v>
                </c:pt>
                <c:pt idx="179">
                  <c:v>5.0004E-2</c:v>
                </c:pt>
                <c:pt idx="180">
                  <c:v>5.0281800000000001E-2</c:v>
                </c:pt>
                <c:pt idx="181">
                  <c:v>5.0559600000000003E-2</c:v>
                </c:pt>
                <c:pt idx="182">
                  <c:v>5.0837399999999998E-2</c:v>
                </c:pt>
                <c:pt idx="183">
                  <c:v>5.11152E-2</c:v>
                </c:pt>
                <c:pt idx="184">
                  <c:v>5.1393000000000001E-2</c:v>
                </c:pt>
                <c:pt idx="185">
                  <c:v>5.1670800000000003E-2</c:v>
                </c:pt>
                <c:pt idx="186">
                  <c:v>5.1948599999999998E-2</c:v>
                </c:pt>
                <c:pt idx="187">
                  <c:v>5.2226399999999999E-2</c:v>
                </c:pt>
                <c:pt idx="188">
                  <c:v>5.2504200000000001E-2</c:v>
                </c:pt>
                <c:pt idx="189">
                  <c:v>5.2782000000000003E-2</c:v>
                </c:pt>
                <c:pt idx="190">
                  <c:v>5.3059799999999997E-2</c:v>
                </c:pt>
                <c:pt idx="191">
                  <c:v>5.3337599999999999E-2</c:v>
                </c:pt>
                <c:pt idx="192">
                  <c:v>5.3615400000000001E-2</c:v>
                </c:pt>
                <c:pt idx="193">
                  <c:v>5.3893200000000002E-2</c:v>
                </c:pt>
                <c:pt idx="194">
                  <c:v>5.4170999999999997E-2</c:v>
                </c:pt>
              </c:numCache>
            </c:numRef>
          </c:xVal>
          <c:yVal>
            <c:numRef>
              <c:f>variable_inlet!$R$6:$R$200</c:f>
              <c:numCache>
                <c:formatCode>General</c:formatCode>
                <c:ptCount val="195"/>
                <c:pt idx="0">
                  <c:v>327744.40000000002</c:v>
                </c:pt>
                <c:pt idx="1">
                  <c:v>330017.09999999998</c:v>
                </c:pt>
                <c:pt idx="2">
                  <c:v>332607</c:v>
                </c:pt>
                <c:pt idx="3">
                  <c:v>334253.59999999998</c:v>
                </c:pt>
                <c:pt idx="4">
                  <c:v>334899.59999999998</c:v>
                </c:pt>
                <c:pt idx="5">
                  <c:v>334210.7</c:v>
                </c:pt>
                <c:pt idx="6">
                  <c:v>333196.7</c:v>
                </c:pt>
                <c:pt idx="7">
                  <c:v>332817.7</c:v>
                </c:pt>
                <c:pt idx="8">
                  <c:v>332612.8</c:v>
                </c:pt>
                <c:pt idx="9">
                  <c:v>332297.59999999998</c:v>
                </c:pt>
                <c:pt idx="10">
                  <c:v>331994.2</c:v>
                </c:pt>
                <c:pt idx="11">
                  <c:v>331568.2</c:v>
                </c:pt>
                <c:pt idx="12">
                  <c:v>331283.8</c:v>
                </c:pt>
                <c:pt idx="13">
                  <c:v>331510.5</c:v>
                </c:pt>
                <c:pt idx="14">
                  <c:v>332017.7</c:v>
                </c:pt>
                <c:pt idx="15">
                  <c:v>333089.40000000002</c:v>
                </c:pt>
                <c:pt idx="16">
                  <c:v>335324.09999999998</c:v>
                </c:pt>
                <c:pt idx="17">
                  <c:v>337906.9</c:v>
                </c:pt>
                <c:pt idx="18">
                  <c:v>339309.1</c:v>
                </c:pt>
                <c:pt idx="19">
                  <c:v>338606.2</c:v>
                </c:pt>
                <c:pt idx="20">
                  <c:v>336574.6</c:v>
                </c:pt>
                <c:pt idx="21">
                  <c:v>332812.3</c:v>
                </c:pt>
                <c:pt idx="22">
                  <c:v>328401.8</c:v>
                </c:pt>
                <c:pt idx="23">
                  <c:v>323781.8</c:v>
                </c:pt>
                <c:pt idx="24">
                  <c:v>318586.7</c:v>
                </c:pt>
                <c:pt idx="25">
                  <c:v>318137.40000000002</c:v>
                </c:pt>
                <c:pt idx="26">
                  <c:v>320174</c:v>
                </c:pt>
                <c:pt idx="27">
                  <c:v>321377</c:v>
                </c:pt>
                <c:pt idx="28">
                  <c:v>322888.8</c:v>
                </c:pt>
                <c:pt idx="29">
                  <c:v>324713</c:v>
                </c:pt>
                <c:pt idx="30">
                  <c:v>326797.3</c:v>
                </c:pt>
                <c:pt idx="31">
                  <c:v>328250.7</c:v>
                </c:pt>
                <c:pt idx="32">
                  <c:v>328562.3</c:v>
                </c:pt>
                <c:pt idx="33">
                  <c:v>327952.09999999998</c:v>
                </c:pt>
                <c:pt idx="34">
                  <c:v>326796.5</c:v>
                </c:pt>
                <c:pt idx="35">
                  <c:v>325592.8</c:v>
                </c:pt>
                <c:pt idx="36">
                  <c:v>324546.8</c:v>
                </c:pt>
                <c:pt idx="37">
                  <c:v>323663.3</c:v>
                </c:pt>
                <c:pt idx="38">
                  <c:v>322950.2</c:v>
                </c:pt>
                <c:pt idx="39">
                  <c:v>322435.8</c:v>
                </c:pt>
                <c:pt idx="40">
                  <c:v>322120.2</c:v>
                </c:pt>
                <c:pt idx="41">
                  <c:v>321940.8</c:v>
                </c:pt>
                <c:pt idx="42">
                  <c:v>321797.5</c:v>
                </c:pt>
                <c:pt idx="43">
                  <c:v>321541.8</c:v>
                </c:pt>
                <c:pt idx="44">
                  <c:v>320957.7</c:v>
                </c:pt>
                <c:pt idx="45">
                  <c:v>320029.3</c:v>
                </c:pt>
                <c:pt idx="46">
                  <c:v>319162.8</c:v>
                </c:pt>
                <c:pt idx="47">
                  <c:v>318670</c:v>
                </c:pt>
                <c:pt idx="48">
                  <c:v>318420.8</c:v>
                </c:pt>
                <c:pt idx="49">
                  <c:v>318410.40000000002</c:v>
                </c:pt>
                <c:pt idx="50">
                  <c:v>318681.40000000002</c:v>
                </c:pt>
                <c:pt idx="51">
                  <c:v>319562</c:v>
                </c:pt>
                <c:pt idx="52">
                  <c:v>320730.09999999998</c:v>
                </c:pt>
                <c:pt idx="53">
                  <c:v>321507.8</c:v>
                </c:pt>
                <c:pt idx="54">
                  <c:v>321834.2</c:v>
                </c:pt>
                <c:pt idx="55">
                  <c:v>321975.2</c:v>
                </c:pt>
                <c:pt idx="56">
                  <c:v>322014.3</c:v>
                </c:pt>
                <c:pt idx="57">
                  <c:v>322044.09999999998</c:v>
                </c:pt>
                <c:pt idx="58">
                  <c:v>322089.3</c:v>
                </c:pt>
                <c:pt idx="59">
                  <c:v>322169.59999999998</c:v>
                </c:pt>
                <c:pt idx="60">
                  <c:v>322369.7</c:v>
                </c:pt>
                <c:pt idx="61">
                  <c:v>322940.90000000002</c:v>
                </c:pt>
                <c:pt idx="62">
                  <c:v>323860.90000000002</c:v>
                </c:pt>
                <c:pt idx="63">
                  <c:v>324411.7</c:v>
                </c:pt>
                <c:pt idx="64">
                  <c:v>324626.3</c:v>
                </c:pt>
                <c:pt idx="65">
                  <c:v>324649.59999999998</c:v>
                </c:pt>
                <c:pt idx="66">
                  <c:v>324551.90000000002</c:v>
                </c:pt>
                <c:pt idx="67">
                  <c:v>324362.59999999998</c:v>
                </c:pt>
                <c:pt idx="68">
                  <c:v>324114.3</c:v>
                </c:pt>
                <c:pt idx="69">
                  <c:v>323853.40000000002</c:v>
                </c:pt>
                <c:pt idx="70">
                  <c:v>323597.3</c:v>
                </c:pt>
                <c:pt idx="71">
                  <c:v>325779.5</c:v>
                </c:pt>
                <c:pt idx="72">
                  <c:v>327894.5</c:v>
                </c:pt>
                <c:pt idx="73">
                  <c:v>330113.3</c:v>
                </c:pt>
                <c:pt idx="74">
                  <c:v>332706.09999999998</c:v>
                </c:pt>
                <c:pt idx="75">
                  <c:v>334435.40000000002</c:v>
                </c:pt>
                <c:pt idx="76">
                  <c:v>335213.3</c:v>
                </c:pt>
                <c:pt idx="77">
                  <c:v>334608.90000000002</c:v>
                </c:pt>
                <c:pt idx="78">
                  <c:v>333583.5</c:v>
                </c:pt>
                <c:pt idx="79">
                  <c:v>333239.2</c:v>
                </c:pt>
                <c:pt idx="80">
                  <c:v>333193.8</c:v>
                </c:pt>
                <c:pt idx="81">
                  <c:v>333027.20000000001</c:v>
                </c:pt>
                <c:pt idx="82">
                  <c:v>332773.90000000002</c:v>
                </c:pt>
                <c:pt idx="83">
                  <c:v>332255.7</c:v>
                </c:pt>
                <c:pt idx="84">
                  <c:v>331791.2</c:v>
                </c:pt>
                <c:pt idx="85">
                  <c:v>331893.2</c:v>
                </c:pt>
                <c:pt idx="86">
                  <c:v>332402.40000000002</c:v>
                </c:pt>
                <c:pt idx="87">
                  <c:v>333384.59999999998</c:v>
                </c:pt>
                <c:pt idx="88">
                  <c:v>335349.09999999998</c:v>
                </c:pt>
                <c:pt idx="89">
                  <c:v>337754</c:v>
                </c:pt>
                <c:pt idx="90">
                  <c:v>339163.8</c:v>
                </c:pt>
                <c:pt idx="91">
                  <c:v>338505.5</c:v>
                </c:pt>
                <c:pt idx="92">
                  <c:v>336405.2</c:v>
                </c:pt>
                <c:pt idx="93">
                  <c:v>332502.8</c:v>
                </c:pt>
                <c:pt idx="94">
                  <c:v>328067</c:v>
                </c:pt>
                <c:pt idx="95">
                  <c:v>323659.5</c:v>
                </c:pt>
                <c:pt idx="96">
                  <c:v>318874.8</c:v>
                </c:pt>
                <c:pt idx="97">
                  <c:v>318810.2</c:v>
                </c:pt>
                <c:pt idx="98">
                  <c:v>320927.90000000002</c:v>
                </c:pt>
                <c:pt idx="99">
                  <c:v>321825.3</c:v>
                </c:pt>
                <c:pt idx="100">
                  <c:v>322852.8</c:v>
                </c:pt>
                <c:pt idx="101">
                  <c:v>324182.09999999998</c:v>
                </c:pt>
                <c:pt idx="102">
                  <c:v>325983.09999999998</c:v>
                </c:pt>
                <c:pt idx="103">
                  <c:v>327581.09999999998</c:v>
                </c:pt>
                <c:pt idx="104">
                  <c:v>328210.5</c:v>
                </c:pt>
                <c:pt idx="105">
                  <c:v>327865.90000000002</c:v>
                </c:pt>
                <c:pt idx="106">
                  <c:v>326858.59999999998</c:v>
                </c:pt>
                <c:pt idx="107">
                  <c:v>325655.09999999998</c:v>
                </c:pt>
                <c:pt idx="108">
                  <c:v>324588.09999999998</c:v>
                </c:pt>
                <c:pt idx="109">
                  <c:v>323710.59999999998</c:v>
                </c:pt>
                <c:pt idx="110">
                  <c:v>323026.8</c:v>
                </c:pt>
                <c:pt idx="111">
                  <c:v>322545.09999999998</c:v>
                </c:pt>
                <c:pt idx="112">
                  <c:v>322251.5</c:v>
                </c:pt>
                <c:pt idx="113">
                  <c:v>322080.90000000002</c:v>
                </c:pt>
                <c:pt idx="114">
                  <c:v>321933.40000000002</c:v>
                </c:pt>
                <c:pt idx="115">
                  <c:v>321661.3</c:v>
                </c:pt>
                <c:pt idx="116">
                  <c:v>321088.2</c:v>
                </c:pt>
                <c:pt idx="117">
                  <c:v>320213.59999999998</c:v>
                </c:pt>
                <c:pt idx="118">
                  <c:v>319382</c:v>
                </c:pt>
                <c:pt idx="119">
                  <c:v>318887.40000000002</c:v>
                </c:pt>
                <c:pt idx="120">
                  <c:v>318627.90000000002</c:v>
                </c:pt>
                <c:pt idx="121">
                  <c:v>318585.7</c:v>
                </c:pt>
                <c:pt idx="122">
                  <c:v>318758.09999999998</c:v>
                </c:pt>
                <c:pt idx="123">
                  <c:v>319424.3</c:v>
                </c:pt>
                <c:pt idx="124">
                  <c:v>320491.7</c:v>
                </c:pt>
                <c:pt idx="125">
                  <c:v>321381.59999999998</c:v>
                </c:pt>
                <c:pt idx="126">
                  <c:v>321853.2</c:v>
                </c:pt>
                <c:pt idx="127">
                  <c:v>322080</c:v>
                </c:pt>
                <c:pt idx="128">
                  <c:v>322200.5</c:v>
                </c:pt>
                <c:pt idx="129">
                  <c:v>322286.09999999998</c:v>
                </c:pt>
                <c:pt idx="130">
                  <c:v>322384.7</c:v>
                </c:pt>
                <c:pt idx="131">
                  <c:v>322539</c:v>
                </c:pt>
                <c:pt idx="132">
                  <c:v>322861.09999999998</c:v>
                </c:pt>
                <c:pt idx="133">
                  <c:v>323563.5</c:v>
                </c:pt>
                <c:pt idx="134">
                  <c:v>324308.7</c:v>
                </c:pt>
                <c:pt idx="135">
                  <c:v>324683.40000000002</c:v>
                </c:pt>
                <c:pt idx="136">
                  <c:v>324800.40000000002</c:v>
                </c:pt>
                <c:pt idx="137">
                  <c:v>324749.7</c:v>
                </c:pt>
                <c:pt idx="138">
                  <c:v>324582.3</c:v>
                </c:pt>
                <c:pt idx="139">
                  <c:v>324331.90000000002</c:v>
                </c:pt>
                <c:pt idx="140">
                  <c:v>324054.8</c:v>
                </c:pt>
                <c:pt idx="141">
                  <c:v>323796.8</c:v>
                </c:pt>
                <c:pt idx="142">
                  <c:v>323565.3</c:v>
                </c:pt>
                <c:pt idx="143">
                  <c:v>325774.5</c:v>
                </c:pt>
                <c:pt idx="144">
                  <c:v>327892.2</c:v>
                </c:pt>
                <c:pt idx="145">
                  <c:v>330091.3</c:v>
                </c:pt>
                <c:pt idx="146">
                  <c:v>332626.2</c:v>
                </c:pt>
                <c:pt idx="147">
                  <c:v>334325.8</c:v>
                </c:pt>
                <c:pt idx="148">
                  <c:v>335168.40000000002</c:v>
                </c:pt>
                <c:pt idx="149">
                  <c:v>334691.90000000002</c:v>
                </c:pt>
                <c:pt idx="150">
                  <c:v>333694.40000000002</c:v>
                </c:pt>
                <c:pt idx="151">
                  <c:v>333233.90000000002</c:v>
                </c:pt>
                <c:pt idx="152">
                  <c:v>333012.59999999998</c:v>
                </c:pt>
                <c:pt idx="153">
                  <c:v>332635.59999999998</c:v>
                </c:pt>
                <c:pt idx="154">
                  <c:v>332192.90000000002</c:v>
                </c:pt>
                <c:pt idx="155">
                  <c:v>331628.40000000002</c:v>
                </c:pt>
                <c:pt idx="156">
                  <c:v>331273.5</c:v>
                </c:pt>
                <c:pt idx="157">
                  <c:v>331513.8</c:v>
                </c:pt>
                <c:pt idx="158">
                  <c:v>332092.5</c:v>
                </c:pt>
                <c:pt idx="159">
                  <c:v>333211.59999999998</c:v>
                </c:pt>
                <c:pt idx="160">
                  <c:v>335477.59999999998</c:v>
                </c:pt>
                <c:pt idx="161">
                  <c:v>338108.8</c:v>
                </c:pt>
                <c:pt idx="162">
                  <c:v>339504.6</c:v>
                </c:pt>
                <c:pt idx="163">
                  <c:v>338734</c:v>
                </c:pt>
                <c:pt idx="164">
                  <c:v>336615.1</c:v>
                </c:pt>
                <c:pt idx="165">
                  <c:v>332775.8</c:v>
                </c:pt>
                <c:pt idx="166">
                  <c:v>328369.5</c:v>
                </c:pt>
                <c:pt idx="167">
                  <c:v>323910.90000000002</c:v>
                </c:pt>
                <c:pt idx="168">
                  <c:v>319003.7</c:v>
                </c:pt>
                <c:pt idx="169">
                  <c:v>318732</c:v>
                </c:pt>
                <c:pt idx="170">
                  <c:v>320695.40000000002</c:v>
                </c:pt>
                <c:pt idx="171">
                  <c:v>321676.7</c:v>
                </c:pt>
                <c:pt idx="172">
                  <c:v>323051.40000000002</c:v>
                </c:pt>
                <c:pt idx="173">
                  <c:v>324899.3</c:v>
                </c:pt>
                <c:pt idx="174">
                  <c:v>327108.3</c:v>
                </c:pt>
                <c:pt idx="175">
                  <c:v>328613.59999999998</c:v>
                </c:pt>
                <c:pt idx="176">
                  <c:v>328873</c:v>
                </c:pt>
                <c:pt idx="177">
                  <c:v>328149.7</c:v>
                </c:pt>
                <c:pt idx="178">
                  <c:v>326873.8</c:v>
                </c:pt>
                <c:pt idx="179">
                  <c:v>325591.59999999998</c:v>
                </c:pt>
                <c:pt idx="180">
                  <c:v>324505.7</c:v>
                </c:pt>
                <c:pt idx="181">
                  <c:v>323634.09999999998</c:v>
                </c:pt>
                <c:pt idx="182">
                  <c:v>322994.90000000002</c:v>
                </c:pt>
                <c:pt idx="183">
                  <c:v>322600.3</c:v>
                </c:pt>
                <c:pt idx="184">
                  <c:v>322406.90000000002</c:v>
                </c:pt>
                <c:pt idx="185">
                  <c:v>322353.7</c:v>
                </c:pt>
                <c:pt idx="186">
                  <c:v>322398.2</c:v>
                </c:pt>
                <c:pt idx="187">
                  <c:v>322466.59999999998</c:v>
                </c:pt>
                <c:pt idx="188">
                  <c:v>322341.2</c:v>
                </c:pt>
                <c:pt idx="189">
                  <c:v>321641.09999999998</c:v>
                </c:pt>
                <c:pt idx="190">
                  <c:v>320456.2</c:v>
                </c:pt>
                <c:pt idx="191">
                  <c:v>319461.3</c:v>
                </c:pt>
                <c:pt idx="192">
                  <c:v>318935.8</c:v>
                </c:pt>
                <c:pt idx="193">
                  <c:v>318705.7</c:v>
                </c:pt>
                <c:pt idx="194">
                  <c:v>318739.59999999998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A133-4F03-AF2B-E118592D7735}"/>
            </c:ext>
          </c:extLst>
        </c:ser>
        <c:ser>
          <c:idx val="5"/>
          <c:order val="5"/>
          <c:tx>
            <c:strRef>
              <c:f>variable_inlet!$S$4</c:f>
              <c:strCache>
                <c:ptCount val="1"/>
                <c:pt idx="0">
                  <c:v>static U_2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variable_inlet!$P$6:$P$200</c:f>
              <c:numCache>
                <c:formatCode>General</c:formatCode>
                <c:ptCount val="195"/>
                <c:pt idx="0">
                  <c:v>2.7779999999999998E-4</c:v>
                </c:pt>
                <c:pt idx="1">
                  <c:v>5.5559999999999995E-4</c:v>
                </c:pt>
                <c:pt idx="2">
                  <c:v>8.3339989999999995E-4</c:v>
                </c:pt>
                <c:pt idx="3">
                  <c:v>1.1111999999999999E-3</c:v>
                </c:pt>
                <c:pt idx="4">
                  <c:v>1.389E-3</c:v>
                </c:pt>
                <c:pt idx="5">
                  <c:v>1.6668E-3</c:v>
                </c:pt>
                <c:pt idx="6">
                  <c:v>1.9446000000000001E-3</c:v>
                </c:pt>
                <c:pt idx="7">
                  <c:v>2.2223999999999998E-3</c:v>
                </c:pt>
                <c:pt idx="8">
                  <c:v>2.5002000000000002E-3</c:v>
                </c:pt>
                <c:pt idx="9">
                  <c:v>2.7780000000000001E-3</c:v>
                </c:pt>
                <c:pt idx="10">
                  <c:v>3.0558E-3</c:v>
                </c:pt>
                <c:pt idx="11">
                  <c:v>3.3335999999999999E-3</c:v>
                </c:pt>
                <c:pt idx="12">
                  <c:v>3.6113999999999999E-3</c:v>
                </c:pt>
                <c:pt idx="13">
                  <c:v>3.8892000000000002E-3</c:v>
                </c:pt>
                <c:pt idx="14">
                  <c:v>4.1669999999999997E-3</c:v>
                </c:pt>
                <c:pt idx="15">
                  <c:v>4.4447999999999996E-3</c:v>
                </c:pt>
                <c:pt idx="16">
                  <c:v>4.7226000000000004E-3</c:v>
                </c:pt>
                <c:pt idx="17">
                  <c:v>5.0004000000000003E-3</c:v>
                </c:pt>
                <c:pt idx="18">
                  <c:v>5.2782000000000003E-3</c:v>
                </c:pt>
                <c:pt idx="19">
                  <c:v>5.5560000000000002E-3</c:v>
                </c:pt>
                <c:pt idx="20">
                  <c:v>5.8338000000000001E-3</c:v>
                </c:pt>
                <c:pt idx="21">
                  <c:v>6.1116E-3</c:v>
                </c:pt>
                <c:pt idx="22">
                  <c:v>6.3893999999999999E-3</c:v>
                </c:pt>
                <c:pt idx="23">
                  <c:v>6.6671999999999999E-3</c:v>
                </c:pt>
                <c:pt idx="24">
                  <c:v>6.9449999999999998E-3</c:v>
                </c:pt>
                <c:pt idx="25">
                  <c:v>7.2227999999999997E-3</c:v>
                </c:pt>
                <c:pt idx="26">
                  <c:v>7.5005999999999996E-3</c:v>
                </c:pt>
                <c:pt idx="27">
                  <c:v>7.7784000000000004E-3</c:v>
                </c:pt>
                <c:pt idx="28">
                  <c:v>8.0561999999999995E-3</c:v>
                </c:pt>
                <c:pt idx="29">
                  <c:v>8.3339999999999994E-3</c:v>
                </c:pt>
                <c:pt idx="30">
                  <c:v>8.6117999999999993E-3</c:v>
                </c:pt>
                <c:pt idx="31">
                  <c:v>8.8895999999999992E-3</c:v>
                </c:pt>
                <c:pt idx="32">
                  <c:v>9.1673989999999997E-3</c:v>
                </c:pt>
                <c:pt idx="33">
                  <c:v>9.4452000000000008E-3</c:v>
                </c:pt>
                <c:pt idx="34">
                  <c:v>9.7229989999999995E-3</c:v>
                </c:pt>
                <c:pt idx="35">
                  <c:v>1.0000800000000001E-2</c:v>
                </c:pt>
                <c:pt idx="36">
                  <c:v>1.0278600000000001E-2</c:v>
                </c:pt>
                <c:pt idx="37">
                  <c:v>1.0556400000000001E-2</c:v>
                </c:pt>
                <c:pt idx="38">
                  <c:v>1.08342E-2</c:v>
                </c:pt>
                <c:pt idx="39">
                  <c:v>1.1112E-2</c:v>
                </c:pt>
                <c:pt idx="40">
                  <c:v>1.13898E-2</c:v>
                </c:pt>
                <c:pt idx="41">
                  <c:v>1.16676E-2</c:v>
                </c:pt>
                <c:pt idx="42">
                  <c:v>1.19454E-2</c:v>
                </c:pt>
                <c:pt idx="43">
                  <c:v>1.22232E-2</c:v>
                </c:pt>
                <c:pt idx="44">
                  <c:v>1.2501E-2</c:v>
                </c:pt>
                <c:pt idx="45">
                  <c:v>1.27788E-2</c:v>
                </c:pt>
                <c:pt idx="46">
                  <c:v>1.30566E-2</c:v>
                </c:pt>
                <c:pt idx="47">
                  <c:v>1.33344E-2</c:v>
                </c:pt>
                <c:pt idx="48">
                  <c:v>1.36122E-2</c:v>
                </c:pt>
                <c:pt idx="49">
                  <c:v>1.389E-2</c:v>
                </c:pt>
                <c:pt idx="50">
                  <c:v>1.4167799999999999E-2</c:v>
                </c:pt>
                <c:pt idx="51">
                  <c:v>1.4445599999999999E-2</c:v>
                </c:pt>
                <c:pt idx="52">
                  <c:v>1.4723399999999999E-2</c:v>
                </c:pt>
                <c:pt idx="53">
                  <c:v>1.5001199999999999E-2</c:v>
                </c:pt>
                <c:pt idx="54">
                  <c:v>1.5278999999999999E-2</c:v>
                </c:pt>
                <c:pt idx="55">
                  <c:v>1.5556800000000001E-2</c:v>
                </c:pt>
                <c:pt idx="56">
                  <c:v>1.5834600000000001E-2</c:v>
                </c:pt>
                <c:pt idx="57">
                  <c:v>1.6112399999999999E-2</c:v>
                </c:pt>
                <c:pt idx="58">
                  <c:v>1.6390200000000001E-2</c:v>
                </c:pt>
                <c:pt idx="59">
                  <c:v>1.6667999999999999E-2</c:v>
                </c:pt>
                <c:pt idx="60">
                  <c:v>1.69458E-2</c:v>
                </c:pt>
                <c:pt idx="61">
                  <c:v>1.7223599999999999E-2</c:v>
                </c:pt>
                <c:pt idx="62">
                  <c:v>1.75014E-2</c:v>
                </c:pt>
                <c:pt idx="63">
                  <c:v>1.7779199999999998E-2</c:v>
                </c:pt>
                <c:pt idx="64">
                  <c:v>1.8057E-2</c:v>
                </c:pt>
                <c:pt idx="65">
                  <c:v>1.8334799999999998E-2</c:v>
                </c:pt>
                <c:pt idx="66">
                  <c:v>1.86126E-2</c:v>
                </c:pt>
                <c:pt idx="67">
                  <c:v>1.8890400000000002E-2</c:v>
                </c:pt>
                <c:pt idx="68">
                  <c:v>1.91682E-2</c:v>
                </c:pt>
                <c:pt idx="69">
                  <c:v>1.9446000000000001E-2</c:v>
                </c:pt>
                <c:pt idx="70">
                  <c:v>1.97238E-2</c:v>
                </c:pt>
                <c:pt idx="71">
                  <c:v>2.0001600000000001E-2</c:v>
                </c:pt>
                <c:pt idx="72">
                  <c:v>2.02794E-2</c:v>
                </c:pt>
                <c:pt idx="73">
                  <c:v>2.0557200000000001E-2</c:v>
                </c:pt>
                <c:pt idx="74">
                  <c:v>2.0834999999999999E-2</c:v>
                </c:pt>
                <c:pt idx="75">
                  <c:v>2.1112800000000001E-2</c:v>
                </c:pt>
                <c:pt idx="76">
                  <c:v>2.1390599999999999E-2</c:v>
                </c:pt>
                <c:pt idx="77">
                  <c:v>2.1668400000000001E-2</c:v>
                </c:pt>
                <c:pt idx="78">
                  <c:v>2.1946199999999999E-2</c:v>
                </c:pt>
                <c:pt idx="79">
                  <c:v>2.2224000000000001E-2</c:v>
                </c:pt>
                <c:pt idx="80">
                  <c:v>2.2501799999999999E-2</c:v>
                </c:pt>
                <c:pt idx="81">
                  <c:v>2.2779600000000001E-2</c:v>
                </c:pt>
                <c:pt idx="82">
                  <c:v>2.3057399999999999E-2</c:v>
                </c:pt>
                <c:pt idx="83">
                  <c:v>2.33352E-2</c:v>
                </c:pt>
                <c:pt idx="84">
                  <c:v>2.3612999999999999E-2</c:v>
                </c:pt>
                <c:pt idx="85">
                  <c:v>2.38908E-2</c:v>
                </c:pt>
                <c:pt idx="86">
                  <c:v>2.4168599999999998E-2</c:v>
                </c:pt>
                <c:pt idx="87">
                  <c:v>2.44464E-2</c:v>
                </c:pt>
                <c:pt idx="88">
                  <c:v>2.4724200000000002E-2</c:v>
                </c:pt>
                <c:pt idx="89">
                  <c:v>2.5002E-2</c:v>
                </c:pt>
                <c:pt idx="90">
                  <c:v>2.5279800000000002E-2</c:v>
                </c:pt>
                <c:pt idx="91">
                  <c:v>2.55576E-2</c:v>
                </c:pt>
                <c:pt idx="92">
                  <c:v>2.5835400000000001E-2</c:v>
                </c:pt>
                <c:pt idx="93">
                  <c:v>2.61132E-2</c:v>
                </c:pt>
                <c:pt idx="94">
                  <c:v>2.6391000000000001E-2</c:v>
                </c:pt>
                <c:pt idx="95">
                  <c:v>2.6668799999999999E-2</c:v>
                </c:pt>
                <c:pt idx="96">
                  <c:v>2.6946600000000001E-2</c:v>
                </c:pt>
                <c:pt idx="97">
                  <c:v>2.7224399999999999E-2</c:v>
                </c:pt>
                <c:pt idx="98">
                  <c:v>2.7502200000000001E-2</c:v>
                </c:pt>
                <c:pt idx="99">
                  <c:v>2.7779999999999999E-2</c:v>
                </c:pt>
                <c:pt idx="100">
                  <c:v>2.8057800000000001E-2</c:v>
                </c:pt>
                <c:pt idx="101">
                  <c:v>2.8335599999999999E-2</c:v>
                </c:pt>
                <c:pt idx="102">
                  <c:v>2.8613400000000001E-2</c:v>
                </c:pt>
                <c:pt idx="103">
                  <c:v>2.8891199999999999E-2</c:v>
                </c:pt>
                <c:pt idx="104">
                  <c:v>2.9169E-2</c:v>
                </c:pt>
                <c:pt idx="105">
                  <c:v>2.9446799999999999E-2</c:v>
                </c:pt>
                <c:pt idx="106">
                  <c:v>2.97246E-2</c:v>
                </c:pt>
                <c:pt idx="107">
                  <c:v>3.0002399999999999E-2</c:v>
                </c:pt>
                <c:pt idx="108">
                  <c:v>3.02802E-2</c:v>
                </c:pt>
                <c:pt idx="109">
                  <c:v>3.0557999999999998E-2</c:v>
                </c:pt>
                <c:pt idx="110">
                  <c:v>3.08358E-2</c:v>
                </c:pt>
                <c:pt idx="111">
                  <c:v>3.1113600000000002E-2</c:v>
                </c:pt>
                <c:pt idx="112">
                  <c:v>3.13914E-2</c:v>
                </c:pt>
                <c:pt idx="113">
                  <c:v>3.1669200000000002E-2</c:v>
                </c:pt>
                <c:pt idx="114">
                  <c:v>3.1947000000000003E-2</c:v>
                </c:pt>
                <c:pt idx="115">
                  <c:v>3.2224799999999998E-2</c:v>
                </c:pt>
                <c:pt idx="116">
                  <c:v>3.25026E-2</c:v>
                </c:pt>
                <c:pt idx="117">
                  <c:v>3.2780400000000001E-2</c:v>
                </c:pt>
                <c:pt idx="118">
                  <c:v>3.3058200000000003E-2</c:v>
                </c:pt>
                <c:pt idx="119">
                  <c:v>3.3335999999999998E-2</c:v>
                </c:pt>
                <c:pt idx="120">
                  <c:v>3.3613799999999999E-2</c:v>
                </c:pt>
                <c:pt idx="121">
                  <c:v>3.3891600000000001E-2</c:v>
                </c:pt>
                <c:pt idx="122">
                  <c:v>3.4169400000000003E-2</c:v>
                </c:pt>
                <c:pt idx="123">
                  <c:v>3.4447199999999997E-2</c:v>
                </c:pt>
                <c:pt idx="124">
                  <c:v>3.4724999999999999E-2</c:v>
                </c:pt>
                <c:pt idx="125">
                  <c:v>3.5002800000000001E-2</c:v>
                </c:pt>
                <c:pt idx="126">
                  <c:v>3.5280600000000002E-2</c:v>
                </c:pt>
                <c:pt idx="127">
                  <c:v>3.5558399999999997E-2</c:v>
                </c:pt>
                <c:pt idx="128">
                  <c:v>3.5836199999999999E-2</c:v>
                </c:pt>
                <c:pt idx="129">
                  <c:v>3.6114E-2</c:v>
                </c:pt>
                <c:pt idx="130">
                  <c:v>3.6391800000000002E-2</c:v>
                </c:pt>
                <c:pt idx="131">
                  <c:v>3.6669599999999997E-2</c:v>
                </c:pt>
                <c:pt idx="132">
                  <c:v>3.6947399999999998E-2</c:v>
                </c:pt>
                <c:pt idx="133">
                  <c:v>3.72252E-2</c:v>
                </c:pt>
                <c:pt idx="134">
                  <c:v>3.7503000000000002E-2</c:v>
                </c:pt>
                <c:pt idx="135">
                  <c:v>3.7780800000000003E-2</c:v>
                </c:pt>
                <c:pt idx="136">
                  <c:v>3.8058599999999998E-2</c:v>
                </c:pt>
                <c:pt idx="137">
                  <c:v>3.83364E-2</c:v>
                </c:pt>
                <c:pt idx="138">
                  <c:v>3.8614200000000001E-2</c:v>
                </c:pt>
                <c:pt idx="139">
                  <c:v>3.8892000000000003E-2</c:v>
                </c:pt>
                <c:pt idx="140">
                  <c:v>3.9169799999999998E-2</c:v>
                </c:pt>
                <c:pt idx="141">
                  <c:v>3.9447599999999999E-2</c:v>
                </c:pt>
                <c:pt idx="142">
                  <c:v>3.9725400000000001E-2</c:v>
                </c:pt>
                <c:pt idx="143">
                  <c:v>4.0003200000000003E-2</c:v>
                </c:pt>
                <c:pt idx="144">
                  <c:v>4.0280999999999997E-2</c:v>
                </c:pt>
                <c:pt idx="145">
                  <c:v>4.0558799999999999E-2</c:v>
                </c:pt>
                <c:pt idx="146">
                  <c:v>4.0836600000000001E-2</c:v>
                </c:pt>
                <c:pt idx="147">
                  <c:v>4.1114400000000002E-2</c:v>
                </c:pt>
                <c:pt idx="148">
                  <c:v>4.1392199999999997E-2</c:v>
                </c:pt>
                <c:pt idx="149">
                  <c:v>4.1669999999999999E-2</c:v>
                </c:pt>
                <c:pt idx="150">
                  <c:v>4.19478E-2</c:v>
                </c:pt>
                <c:pt idx="151">
                  <c:v>4.2225600000000002E-2</c:v>
                </c:pt>
                <c:pt idx="152">
                  <c:v>4.2503399999999997E-2</c:v>
                </c:pt>
                <c:pt idx="153">
                  <c:v>4.2781199999999998E-2</c:v>
                </c:pt>
                <c:pt idx="154">
                  <c:v>4.3059E-2</c:v>
                </c:pt>
                <c:pt idx="155">
                  <c:v>4.3336800000000002E-2</c:v>
                </c:pt>
                <c:pt idx="156">
                  <c:v>4.3614600000000003E-2</c:v>
                </c:pt>
                <c:pt idx="157">
                  <c:v>4.3892399999999998E-2</c:v>
                </c:pt>
                <c:pt idx="158">
                  <c:v>4.41702E-2</c:v>
                </c:pt>
                <c:pt idx="159">
                  <c:v>4.4448000000000001E-2</c:v>
                </c:pt>
                <c:pt idx="160">
                  <c:v>4.4725800000000003E-2</c:v>
                </c:pt>
                <c:pt idx="161">
                  <c:v>4.5003599999999998E-2</c:v>
                </c:pt>
                <c:pt idx="162">
                  <c:v>4.5281399999999999E-2</c:v>
                </c:pt>
                <c:pt idx="163">
                  <c:v>4.5559200000000001E-2</c:v>
                </c:pt>
                <c:pt idx="164">
                  <c:v>4.5837000000000003E-2</c:v>
                </c:pt>
                <c:pt idx="165">
                  <c:v>4.6114799999999997E-2</c:v>
                </c:pt>
                <c:pt idx="166">
                  <c:v>4.6392599999999999E-2</c:v>
                </c:pt>
                <c:pt idx="167">
                  <c:v>4.6670400000000001E-2</c:v>
                </c:pt>
                <c:pt idx="168">
                  <c:v>4.6948200000000002E-2</c:v>
                </c:pt>
                <c:pt idx="169">
                  <c:v>4.7225999999999997E-2</c:v>
                </c:pt>
                <c:pt idx="170">
                  <c:v>4.7503799999999999E-2</c:v>
                </c:pt>
                <c:pt idx="171">
                  <c:v>4.77816E-2</c:v>
                </c:pt>
                <c:pt idx="172">
                  <c:v>4.8059400000000002E-2</c:v>
                </c:pt>
                <c:pt idx="173">
                  <c:v>4.8337199999999997E-2</c:v>
                </c:pt>
                <c:pt idx="174">
                  <c:v>4.8614999999999998E-2</c:v>
                </c:pt>
                <c:pt idx="175">
                  <c:v>4.88928E-2</c:v>
                </c:pt>
                <c:pt idx="176">
                  <c:v>4.9170600000000002E-2</c:v>
                </c:pt>
                <c:pt idx="177">
                  <c:v>4.9448400000000003E-2</c:v>
                </c:pt>
                <c:pt idx="178">
                  <c:v>4.9726199999999998E-2</c:v>
                </c:pt>
                <c:pt idx="179">
                  <c:v>5.0004E-2</c:v>
                </c:pt>
                <c:pt idx="180">
                  <c:v>5.0281800000000001E-2</c:v>
                </c:pt>
                <c:pt idx="181">
                  <c:v>5.0559600000000003E-2</c:v>
                </c:pt>
                <c:pt idx="182">
                  <c:v>5.0837399999999998E-2</c:v>
                </c:pt>
                <c:pt idx="183">
                  <c:v>5.11152E-2</c:v>
                </c:pt>
                <c:pt idx="184">
                  <c:v>5.1393000000000001E-2</c:v>
                </c:pt>
                <c:pt idx="185">
                  <c:v>5.1670800000000003E-2</c:v>
                </c:pt>
                <c:pt idx="186">
                  <c:v>5.1948599999999998E-2</c:v>
                </c:pt>
                <c:pt idx="187">
                  <c:v>5.2226399999999999E-2</c:v>
                </c:pt>
                <c:pt idx="188">
                  <c:v>5.2504200000000001E-2</c:v>
                </c:pt>
                <c:pt idx="189">
                  <c:v>5.2782000000000003E-2</c:v>
                </c:pt>
                <c:pt idx="190">
                  <c:v>5.3059799999999997E-2</c:v>
                </c:pt>
                <c:pt idx="191">
                  <c:v>5.3337599999999999E-2</c:v>
                </c:pt>
                <c:pt idx="192">
                  <c:v>5.3615400000000001E-2</c:v>
                </c:pt>
                <c:pt idx="193">
                  <c:v>5.3893200000000002E-2</c:v>
                </c:pt>
                <c:pt idx="194">
                  <c:v>5.4170999999999997E-2</c:v>
                </c:pt>
              </c:numCache>
            </c:numRef>
          </c:xVal>
          <c:yVal>
            <c:numRef>
              <c:f>variable_inlet!$S$6:$S$200</c:f>
              <c:numCache>
                <c:formatCode>General</c:formatCode>
                <c:ptCount val="195"/>
                <c:pt idx="0">
                  <c:v>300850.7</c:v>
                </c:pt>
                <c:pt idx="1">
                  <c:v>305555.09999999998</c:v>
                </c:pt>
                <c:pt idx="2">
                  <c:v>309658</c:v>
                </c:pt>
                <c:pt idx="3">
                  <c:v>308793.8</c:v>
                </c:pt>
                <c:pt idx="4">
                  <c:v>304200.59999999998</c:v>
                </c:pt>
                <c:pt idx="5">
                  <c:v>302164.90000000002</c:v>
                </c:pt>
                <c:pt idx="6">
                  <c:v>304123.09999999998</c:v>
                </c:pt>
                <c:pt idx="7">
                  <c:v>305268.09999999998</c:v>
                </c:pt>
                <c:pt idx="8">
                  <c:v>306064.5</c:v>
                </c:pt>
                <c:pt idx="9">
                  <c:v>307155.5</c:v>
                </c:pt>
                <c:pt idx="10">
                  <c:v>307459.20000000001</c:v>
                </c:pt>
                <c:pt idx="11">
                  <c:v>306657</c:v>
                </c:pt>
                <c:pt idx="12">
                  <c:v>304735.5</c:v>
                </c:pt>
                <c:pt idx="13">
                  <c:v>303802.40000000002</c:v>
                </c:pt>
                <c:pt idx="14">
                  <c:v>305646.2</c:v>
                </c:pt>
                <c:pt idx="15">
                  <c:v>308532.09999999998</c:v>
                </c:pt>
                <c:pt idx="16">
                  <c:v>310488.40000000002</c:v>
                </c:pt>
                <c:pt idx="17">
                  <c:v>310563.09999999998</c:v>
                </c:pt>
                <c:pt idx="18">
                  <c:v>308902.2</c:v>
                </c:pt>
                <c:pt idx="19">
                  <c:v>305995.5</c:v>
                </c:pt>
                <c:pt idx="20">
                  <c:v>303036</c:v>
                </c:pt>
                <c:pt idx="21">
                  <c:v>301861.09999999998</c:v>
                </c:pt>
                <c:pt idx="22">
                  <c:v>302605</c:v>
                </c:pt>
                <c:pt idx="23">
                  <c:v>301798.09999999998</c:v>
                </c:pt>
                <c:pt idx="24">
                  <c:v>297564.59999999998</c:v>
                </c:pt>
                <c:pt idx="25">
                  <c:v>293354.3</c:v>
                </c:pt>
                <c:pt idx="26">
                  <c:v>291526</c:v>
                </c:pt>
                <c:pt idx="27">
                  <c:v>292906</c:v>
                </c:pt>
                <c:pt idx="28">
                  <c:v>296884.3</c:v>
                </c:pt>
                <c:pt idx="29">
                  <c:v>299871.8</c:v>
                </c:pt>
                <c:pt idx="30">
                  <c:v>301000.2</c:v>
                </c:pt>
                <c:pt idx="31">
                  <c:v>301478.40000000002</c:v>
                </c:pt>
                <c:pt idx="32">
                  <c:v>301835</c:v>
                </c:pt>
                <c:pt idx="33">
                  <c:v>302061.09999999998</c:v>
                </c:pt>
                <c:pt idx="34">
                  <c:v>301953.7</c:v>
                </c:pt>
                <c:pt idx="35">
                  <c:v>301405.2</c:v>
                </c:pt>
                <c:pt idx="36">
                  <c:v>300668.5</c:v>
                </c:pt>
                <c:pt idx="37">
                  <c:v>299983.2</c:v>
                </c:pt>
                <c:pt idx="38">
                  <c:v>299205</c:v>
                </c:pt>
                <c:pt idx="39">
                  <c:v>298190.59999999998</c:v>
                </c:pt>
                <c:pt idx="40">
                  <c:v>296961.2</c:v>
                </c:pt>
                <c:pt idx="41">
                  <c:v>295674.5</c:v>
                </c:pt>
                <c:pt idx="42">
                  <c:v>294546.2</c:v>
                </c:pt>
                <c:pt idx="43">
                  <c:v>293802.40000000002</c:v>
                </c:pt>
                <c:pt idx="44">
                  <c:v>293535.09999999998</c:v>
                </c:pt>
                <c:pt idx="45">
                  <c:v>293595.5</c:v>
                </c:pt>
                <c:pt idx="46">
                  <c:v>293790.7</c:v>
                </c:pt>
                <c:pt idx="47">
                  <c:v>294021.3</c:v>
                </c:pt>
                <c:pt idx="48">
                  <c:v>294234.09999999998</c:v>
                </c:pt>
                <c:pt idx="49">
                  <c:v>294318.40000000002</c:v>
                </c:pt>
                <c:pt idx="50">
                  <c:v>294193</c:v>
                </c:pt>
                <c:pt idx="51">
                  <c:v>293940.5</c:v>
                </c:pt>
                <c:pt idx="52">
                  <c:v>293731.90000000002</c:v>
                </c:pt>
                <c:pt idx="53">
                  <c:v>293778.09999999998</c:v>
                </c:pt>
                <c:pt idx="54">
                  <c:v>294138.2</c:v>
                </c:pt>
                <c:pt idx="55">
                  <c:v>294746.7</c:v>
                </c:pt>
                <c:pt idx="56">
                  <c:v>295558</c:v>
                </c:pt>
                <c:pt idx="57">
                  <c:v>296577.59999999998</c:v>
                </c:pt>
                <c:pt idx="58">
                  <c:v>297627.5</c:v>
                </c:pt>
                <c:pt idx="59">
                  <c:v>298419.40000000002</c:v>
                </c:pt>
                <c:pt idx="60">
                  <c:v>298837.3</c:v>
                </c:pt>
                <c:pt idx="61">
                  <c:v>298959.3</c:v>
                </c:pt>
                <c:pt idx="62">
                  <c:v>298930.59999999998</c:v>
                </c:pt>
                <c:pt idx="63">
                  <c:v>298881.3</c:v>
                </c:pt>
                <c:pt idx="64">
                  <c:v>298883.59999999998</c:v>
                </c:pt>
                <c:pt idx="65">
                  <c:v>298954.5</c:v>
                </c:pt>
                <c:pt idx="66">
                  <c:v>299085.59999999998</c:v>
                </c:pt>
                <c:pt idx="67">
                  <c:v>299247.40000000002</c:v>
                </c:pt>
                <c:pt idx="68">
                  <c:v>299405.59999999998</c:v>
                </c:pt>
                <c:pt idx="69">
                  <c:v>299558.8</c:v>
                </c:pt>
                <c:pt idx="70">
                  <c:v>299763.59999999998</c:v>
                </c:pt>
                <c:pt idx="71">
                  <c:v>300089.3</c:v>
                </c:pt>
                <c:pt idx="72">
                  <c:v>300955.7</c:v>
                </c:pt>
                <c:pt idx="73">
                  <c:v>306000.7</c:v>
                </c:pt>
                <c:pt idx="74">
                  <c:v>310232.90000000002</c:v>
                </c:pt>
                <c:pt idx="75">
                  <c:v>309442.09999999998</c:v>
                </c:pt>
                <c:pt idx="76">
                  <c:v>305016.59999999998</c:v>
                </c:pt>
                <c:pt idx="77">
                  <c:v>303057.5</c:v>
                </c:pt>
                <c:pt idx="78">
                  <c:v>305063</c:v>
                </c:pt>
                <c:pt idx="79">
                  <c:v>306539.7</c:v>
                </c:pt>
                <c:pt idx="80">
                  <c:v>307551.3</c:v>
                </c:pt>
                <c:pt idx="81">
                  <c:v>308398.90000000002</c:v>
                </c:pt>
                <c:pt idx="82">
                  <c:v>308565</c:v>
                </c:pt>
                <c:pt idx="83">
                  <c:v>307989.3</c:v>
                </c:pt>
                <c:pt idx="84">
                  <c:v>306356.40000000002</c:v>
                </c:pt>
                <c:pt idx="85">
                  <c:v>305152.40000000002</c:v>
                </c:pt>
                <c:pt idx="86">
                  <c:v>306404.8</c:v>
                </c:pt>
                <c:pt idx="87">
                  <c:v>308883.8</c:v>
                </c:pt>
                <c:pt idx="88">
                  <c:v>310646.40000000002</c:v>
                </c:pt>
                <c:pt idx="89">
                  <c:v>310735.90000000002</c:v>
                </c:pt>
                <c:pt idx="90">
                  <c:v>309062.2</c:v>
                </c:pt>
                <c:pt idx="91">
                  <c:v>306002.3</c:v>
                </c:pt>
                <c:pt idx="92">
                  <c:v>303007.40000000002</c:v>
                </c:pt>
                <c:pt idx="93">
                  <c:v>301789.59999999998</c:v>
                </c:pt>
                <c:pt idx="94">
                  <c:v>302514</c:v>
                </c:pt>
                <c:pt idx="95">
                  <c:v>302113.09999999998</c:v>
                </c:pt>
                <c:pt idx="96">
                  <c:v>298168.90000000002</c:v>
                </c:pt>
                <c:pt idx="97">
                  <c:v>293530.5</c:v>
                </c:pt>
                <c:pt idx="98">
                  <c:v>291428</c:v>
                </c:pt>
                <c:pt idx="99">
                  <c:v>292882.8</c:v>
                </c:pt>
                <c:pt idx="100">
                  <c:v>297021.8</c:v>
                </c:pt>
                <c:pt idx="101">
                  <c:v>300206.3</c:v>
                </c:pt>
                <c:pt idx="102">
                  <c:v>301237.90000000002</c:v>
                </c:pt>
                <c:pt idx="103">
                  <c:v>301438.8</c:v>
                </c:pt>
                <c:pt idx="104">
                  <c:v>301502.7</c:v>
                </c:pt>
                <c:pt idx="105">
                  <c:v>301602.09999999998</c:v>
                </c:pt>
                <c:pt idx="106">
                  <c:v>301585.40000000002</c:v>
                </c:pt>
                <c:pt idx="107">
                  <c:v>301293.90000000002</c:v>
                </c:pt>
                <c:pt idx="108">
                  <c:v>300756.40000000002</c:v>
                </c:pt>
                <c:pt idx="109">
                  <c:v>300136</c:v>
                </c:pt>
                <c:pt idx="110">
                  <c:v>299358.3</c:v>
                </c:pt>
                <c:pt idx="111">
                  <c:v>298343.2</c:v>
                </c:pt>
                <c:pt idx="112">
                  <c:v>297140.40000000002</c:v>
                </c:pt>
                <c:pt idx="113">
                  <c:v>295903.2</c:v>
                </c:pt>
                <c:pt idx="114">
                  <c:v>294810.8</c:v>
                </c:pt>
                <c:pt idx="115">
                  <c:v>294095.5</c:v>
                </c:pt>
                <c:pt idx="116">
                  <c:v>293833.2</c:v>
                </c:pt>
                <c:pt idx="117">
                  <c:v>293854.90000000002</c:v>
                </c:pt>
                <c:pt idx="118">
                  <c:v>293984.09999999998</c:v>
                </c:pt>
                <c:pt idx="119">
                  <c:v>294147.5</c:v>
                </c:pt>
                <c:pt idx="120">
                  <c:v>294316.79999999999</c:v>
                </c:pt>
                <c:pt idx="121">
                  <c:v>294419.5</c:v>
                </c:pt>
                <c:pt idx="122">
                  <c:v>294380.40000000002</c:v>
                </c:pt>
                <c:pt idx="123">
                  <c:v>294220.3</c:v>
                </c:pt>
                <c:pt idx="124">
                  <c:v>294077.3</c:v>
                </c:pt>
                <c:pt idx="125">
                  <c:v>294140.09999999998</c:v>
                </c:pt>
                <c:pt idx="126">
                  <c:v>294488</c:v>
                </c:pt>
                <c:pt idx="127">
                  <c:v>295090</c:v>
                </c:pt>
                <c:pt idx="128">
                  <c:v>295920.2</c:v>
                </c:pt>
                <c:pt idx="129">
                  <c:v>296962.40000000002</c:v>
                </c:pt>
                <c:pt idx="130">
                  <c:v>297989.09999999998</c:v>
                </c:pt>
                <c:pt idx="131">
                  <c:v>298703.2</c:v>
                </c:pt>
                <c:pt idx="132">
                  <c:v>299050.59999999998</c:v>
                </c:pt>
                <c:pt idx="133">
                  <c:v>299147.3</c:v>
                </c:pt>
                <c:pt idx="134">
                  <c:v>299135.2</c:v>
                </c:pt>
                <c:pt idx="135">
                  <c:v>299118</c:v>
                </c:pt>
                <c:pt idx="136">
                  <c:v>299156.59999999998</c:v>
                </c:pt>
                <c:pt idx="137">
                  <c:v>299264.59999999998</c:v>
                </c:pt>
                <c:pt idx="138">
                  <c:v>299423.5</c:v>
                </c:pt>
                <c:pt idx="139">
                  <c:v>299585.3</c:v>
                </c:pt>
                <c:pt idx="140">
                  <c:v>299695</c:v>
                </c:pt>
                <c:pt idx="141">
                  <c:v>299736.2</c:v>
                </c:pt>
                <c:pt idx="142">
                  <c:v>299787.59999999998</c:v>
                </c:pt>
                <c:pt idx="143">
                  <c:v>299973</c:v>
                </c:pt>
                <c:pt idx="144">
                  <c:v>300808.09999999998</c:v>
                </c:pt>
                <c:pt idx="145">
                  <c:v>305826.7</c:v>
                </c:pt>
                <c:pt idx="146">
                  <c:v>310239.7</c:v>
                </c:pt>
                <c:pt idx="147">
                  <c:v>309778.8</c:v>
                </c:pt>
                <c:pt idx="148">
                  <c:v>305307.3</c:v>
                </c:pt>
                <c:pt idx="149">
                  <c:v>302940.5</c:v>
                </c:pt>
                <c:pt idx="150">
                  <c:v>304622.3</c:v>
                </c:pt>
                <c:pt idx="151">
                  <c:v>305726.8</c:v>
                </c:pt>
                <c:pt idx="152">
                  <c:v>306665.7</c:v>
                </c:pt>
                <c:pt idx="153">
                  <c:v>307716</c:v>
                </c:pt>
                <c:pt idx="154">
                  <c:v>307986.2</c:v>
                </c:pt>
                <c:pt idx="155">
                  <c:v>307239.09999999998</c:v>
                </c:pt>
                <c:pt idx="156">
                  <c:v>305311.3</c:v>
                </c:pt>
                <c:pt idx="157">
                  <c:v>304247.2</c:v>
                </c:pt>
                <c:pt idx="158">
                  <c:v>306019.7</c:v>
                </c:pt>
                <c:pt idx="159">
                  <c:v>308924.59999999998</c:v>
                </c:pt>
                <c:pt idx="160">
                  <c:v>310859.09999999998</c:v>
                </c:pt>
                <c:pt idx="161">
                  <c:v>310909.59999999998</c:v>
                </c:pt>
                <c:pt idx="162">
                  <c:v>309236.8</c:v>
                </c:pt>
                <c:pt idx="163">
                  <c:v>306249.8</c:v>
                </c:pt>
                <c:pt idx="164">
                  <c:v>303260.79999999999</c:v>
                </c:pt>
                <c:pt idx="165">
                  <c:v>302195.8</c:v>
                </c:pt>
                <c:pt idx="166">
                  <c:v>303103.40000000002</c:v>
                </c:pt>
                <c:pt idx="167">
                  <c:v>302414</c:v>
                </c:pt>
                <c:pt idx="168">
                  <c:v>298096.2</c:v>
                </c:pt>
                <c:pt idx="169">
                  <c:v>293712.2</c:v>
                </c:pt>
                <c:pt idx="170">
                  <c:v>292025.90000000002</c:v>
                </c:pt>
                <c:pt idx="171">
                  <c:v>293678.7</c:v>
                </c:pt>
                <c:pt idx="172">
                  <c:v>297727.3</c:v>
                </c:pt>
                <c:pt idx="173">
                  <c:v>300577.8</c:v>
                </c:pt>
                <c:pt idx="174">
                  <c:v>301494.09999999998</c:v>
                </c:pt>
                <c:pt idx="175">
                  <c:v>301755.5</c:v>
                </c:pt>
                <c:pt idx="176">
                  <c:v>301988</c:v>
                </c:pt>
                <c:pt idx="177">
                  <c:v>302212.90000000002</c:v>
                </c:pt>
                <c:pt idx="178">
                  <c:v>302162.8</c:v>
                </c:pt>
                <c:pt idx="179">
                  <c:v>301730.5</c:v>
                </c:pt>
                <c:pt idx="180">
                  <c:v>301195.8</c:v>
                </c:pt>
                <c:pt idx="181">
                  <c:v>300719.5</c:v>
                </c:pt>
                <c:pt idx="182">
                  <c:v>300121.3</c:v>
                </c:pt>
                <c:pt idx="183">
                  <c:v>299294.5</c:v>
                </c:pt>
                <c:pt idx="184">
                  <c:v>298259.40000000002</c:v>
                </c:pt>
                <c:pt idx="185">
                  <c:v>297114.8</c:v>
                </c:pt>
                <c:pt idx="186">
                  <c:v>295966.3</c:v>
                </c:pt>
                <c:pt idx="187">
                  <c:v>294950</c:v>
                </c:pt>
                <c:pt idx="188">
                  <c:v>294336.90000000002</c:v>
                </c:pt>
                <c:pt idx="189">
                  <c:v>294231.59999999998</c:v>
                </c:pt>
                <c:pt idx="190">
                  <c:v>294403.20000000001</c:v>
                </c:pt>
                <c:pt idx="191">
                  <c:v>294654.8</c:v>
                </c:pt>
                <c:pt idx="192">
                  <c:v>294901.90000000002</c:v>
                </c:pt>
                <c:pt idx="193">
                  <c:v>295097.5</c:v>
                </c:pt>
                <c:pt idx="194">
                  <c:v>295135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A133-4F03-AF2B-E118592D77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5924336"/>
        <c:axId val="395924696"/>
      </c:scatterChart>
      <c:valAx>
        <c:axId val="395924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czas [s]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95924696"/>
        <c:crosses val="autoZero"/>
        <c:crossBetween val="midCat"/>
      </c:valAx>
      <c:valAx>
        <c:axId val="395924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ciśnienie statyczne</a:t>
                </a:r>
                <a:r>
                  <a:rPr lang="pl-PL" baseline="0"/>
                  <a:t> na wlocie [Pa]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959243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variable_inlet!$A$1</c:f>
              <c:strCache>
                <c:ptCount val="1"/>
                <c:pt idx="0">
                  <c:v>0 kierownic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variable_inlet!$D$5:$D$200</c:f>
              <c:numCache>
                <c:formatCode>General</c:formatCode>
                <c:ptCount val="196"/>
                <c:pt idx="0">
                  <c:v>0</c:v>
                </c:pt>
                <c:pt idx="1">
                  <c:v>2.7779999999999998E-4</c:v>
                </c:pt>
                <c:pt idx="2">
                  <c:v>5.5559999999999995E-4</c:v>
                </c:pt>
                <c:pt idx="3">
                  <c:v>8.3339989999999995E-4</c:v>
                </c:pt>
                <c:pt idx="4">
                  <c:v>1.1111999999999999E-3</c:v>
                </c:pt>
                <c:pt idx="5">
                  <c:v>1.389E-3</c:v>
                </c:pt>
                <c:pt idx="6">
                  <c:v>1.6668E-3</c:v>
                </c:pt>
                <c:pt idx="7">
                  <c:v>1.9446000000000001E-3</c:v>
                </c:pt>
                <c:pt idx="8">
                  <c:v>2.2223999999999998E-3</c:v>
                </c:pt>
                <c:pt idx="9">
                  <c:v>2.5002000000000002E-3</c:v>
                </c:pt>
                <c:pt idx="10">
                  <c:v>2.7780000000000001E-3</c:v>
                </c:pt>
                <c:pt idx="11">
                  <c:v>3.0558E-3</c:v>
                </c:pt>
                <c:pt idx="12">
                  <c:v>3.3335999999999999E-3</c:v>
                </c:pt>
                <c:pt idx="13">
                  <c:v>3.6113999999999999E-3</c:v>
                </c:pt>
                <c:pt idx="14">
                  <c:v>3.8892000000000002E-3</c:v>
                </c:pt>
                <c:pt idx="15">
                  <c:v>4.1669999999999997E-3</c:v>
                </c:pt>
                <c:pt idx="16">
                  <c:v>4.4447999999999996E-3</c:v>
                </c:pt>
                <c:pt idx="17">
                  <c:v>4.7226000000000004E-3</c:v>
                </c:pt>
                <c:pt idx="18">
                  <c:v>5.0004000000000003E-3</c:v>
                </c:pt>
                <c:pt idx="19">
                  <c:v>5.2782000000000003E-3</c:v>
                </c:pt>
                <c:pt idx="20">
                  <c:v>5.5560000000000002E-3</c:v>
                </c:pt>
                <c:pt idx="21">
                  <c:v>5.8338000000000001E-3</c:v>
                </c:pt>
                <c:pt idx="22">
                  <c:v>6.1116E-3</c:v>
                </c:pt>
                <c:pt idx="23">
                  <c:v>6.3893999999999999E-3</c:v>
                </c:pt>
                <c:pt idx="24">
                  <c:v>6.6671999999999999E-3</c:v>
                </c:pt>
                <c:pt idx="25">
                  <c:v>6.9449999999999998E-3</c:v>
                </c:pt>
                <c:pt idx="26">
                  <c:v>7.2227999999999997E-3</c:v>
                </c:pt>
                <c:pt idx="27">
                  <c:v>7.5005999999999996E-3</c:v>
                </c:pt>
                <c:pt idx="28">
                  <c:v>7.7784000000000004E-3</c:v>
                </c:pt>
                <c:pt idx="29">
                  <c:v>8.0561999999999995E-3</c:v>
                </c:pt>
                <c:pt idx="30">
                  <c:v>8.3339999999999994E-3</c:v>
                </c:pt>
                <c:pt idx="31">
                  <c:v>8.6117999999999993E-3</c:v>
                </c:pt>
                <c:pt idx="32">
                  <c:v>8.8895999999999992E-3</c:v>
                </c:pt>
                <c:pt idx="33">
                  <c:v>9.1673989999999997E-3</c:v>
                </c:pt>
                <c:pt idx="34">
                  <c:v>9.4452000000000008E-3</c:v>
                </c:pt>
                <c:pt idx="35">
                  <c:v>9.7229989999999995E-3</c:v>
                </c:pt>
                <c:pt idx="36">
                  <c:v>1.0000800000000001E-2</c:v>
                </c:pt>
                <c:pt idx="37">
                  <c:v>1.0278600000000001E-2</c:v>
                </c:pt>
                <c:pt idx="38">
                  <c:v>1.0556400000000001E-2</c:v>
                </c:pt>
                <c:pt idx="39">
                  <c:v>1.08342E-2</c:v>
                </c:pt>
                <c:pt idx="40">
                  <c:v>1.1112E-2</c:v>
                </c:pt>
                <c:pt idx="41">
                  <c:v>1.13898E-2</c:v>
                </c:pt>
                <c:pt idx="42">
                  <c:v>1.16676E-2</c:v>
                </c:pt>
                <c:pt idx="43">
                  <c:v>1.19454E-2</c:v>
                </c:pt>
                <c:pt idx="44">
                  <c:v>1.22232E-2</c:v>
                </c:pt>
                <c:pt idx="45">
                  <c:v>1.2501E-2</c:v>
                </c:pt>
                <c:pt idx="46">
                  <c:v>1.27788E-2</c:v>
                </c:pt>
                <c:pt idx="47">
                  <c:v>1.30566E-2</c:v>
                </c:pt>
                <c:pt idx="48">
                  <c:v>1.33344E-2</c:v>
                </c:pt>
                <c:pt idx="49">
                  <c:v>1.36122E-2</c:v>
                </c:pt>
                <c:pt idx="50">
                  <c:v>1.389E-2</c:v>
                </c:pt>
                <c:pt idx="51">
                  <c:v>1.4167799999999999E-2</c:v>
                </c:pt>
                <c:pt idx="52">
                  <c:v>1.4445599999999999E-2</c:v>
                </c:pt>
                <c:pt idx="53">
                  <c:v>1.4723399999999999E-2</c:v>
                </c:pt>
                <c:pt idx="54">
                  <c:v>1.5001199999999999E-2</c:v>
                </c:pt>
                <c:pt idx="55">
                  <c:v>1.5278999999999999E-2</c:v>
                </c:pt>
                <c:pt idx="56">
                  <c:v>1.5556800000000001E-2</c:v>
                </c:pt>
                <c:pt idx="57">
                  <c:v>1.5834600000000001E-2</c:v>
                </c:pt>
                <c:pt idx="58">
                  <c:v>1.6112399999999999E-2</c:v>
                </c:pt>
                <c:pt idx="59">
                  <c:v>1.6390200000000001E-2</c:v>
                </c:pt>
                <c:pt idx="60">
                  <c:v>1.6667999999999999E-2</c:v>
                </c:pt>
                <c:pt idx="61">
                  <c:v>1.69458E-2</c:v>
                </c:pt>
                <c:pt idx="62">
                  <c:v>1.7223599999999999E-2</c:v>
                </c:pt>
                <c:pt idx="63">
                  <c:v>1.75014E-2</c:v>
                </c:pt>
                <c:pt idx="64">
                  <c:v>1.7779199999999998E-2</c:v>
                </c:pt>
                <c:pt idx="65">
                  <c:v>1.8057E-2</c:v>
                </c:pt>
                <c:pt idx="66">
                  <c:v>1.8334799999999998E-2</c:v>
                </c:pt>
                <c:pt idx="67">
                  <c:v>1.86126E-2</c:v>
                </c:pt>
                <c:pt idx="68">
                  <c:v>1.8890400000000002E-2</c:v>
                </c:pt>
                <c:pt idx="69">
                  <c:v>1.91682E-2</c:v>
                </c:pt>
                <c:pt idx="70">
                  <c:v>1.9446000000000001E-2</c:v>
                </c:pt>
                <c:pt idx="71">
                  <c:v>1.97238E-2</c:v>
                </c:pt>
                <c:pt idx="72">
                  <c:v>2.0001600000000001E-2</c:v>
                </c:pt>
                <c:pt idx="73">
                  <c:v>2.02794E-2</c:v>
                </c:pt>
                <c:pt idx="74">
                  <c:v>2.0557200000000001E-2</c:v>
                </c:pt>
                <c:pt idx="75">
                  <c:v>2.0834999999999999E-2</c:v>
                </c:pt>
                <c:pt idx="76">
                  <c:v>2.1112800000000001E-2</c:v>
                </c:pt>
                <c:pt idx="77">
                  <c:v>2.1390599999999999E-2</c:v>
                </c:pt>
                <c:pt idx="78">
                  <c:v>2.1668400000000001E-2</c:v>
                </c:pt>
                <c:pt idx="79">
                  <c:v>2.1946199999999999E-2</c:v>
                </c:pt>
                <c:pt idx="80">
                  <c:v>2.2224000000000001E-2</c:v>
                </c:pt>
                <c:pt idx="81">
                  <c:v>2.2501799999999999E-2</c:v>
                </c:pt>
                <c:pt idx="82">
                  <c:v>2.2779600000000001E-2</c:v>
                </c:pt>
                <c:pt idx="83">
                  <c:v>2.3057399999999999E-2</c:v>
                </c:pt>
                <c:pt idx="84">
                  <c:v>2.33352E-2</c:v>
                </c:pt>
                <c:pt idx="85">
                  <c:v>2.3612999999999999E-2</c:v>
                </c:pt>
                <c:pt idx="86">
                  <c:v>2.38908E-2</c:v>
                </c:pt>
                <c:pt idx="87">
                  <c:v>2.4168599999999998E-2</c:v>
                </c:pt>
                <c:pt idx="88">
                  <c:v>2.44464E-2</c:v>
                </c:pt>
                <c:pt idx="89">
                  <c:v>2.4724200000000002E-2</c:v>
                </c:pt>
                <c:pt idx="90">
                  <c:v>2.5002E-2</c:v>
                </c:pt>
                <c:pt idx="91">
                  <c:v>2.5279800000000002E-2</c:v>
                </c:pt>
                <c:pt idx="92">
                  <c:v>2.55576E-2</c:v>
                </c:pt>
                <c:pt idx="93">
                  <c:v>2.5835400000000001E-2</c:v>
                </c:pt>
                <c:pt idx="94">
                  <c:v>2.61132E-2</c:v>
                </c:pt>
                <c:pt idx="95">
                  <c:v>2.6391000000000001E-2</c:v>
                </c:pt>
                <c:pt idx="96">
                  <c:v>2.6668799999999999E-2</c:v>
                </c:pt>
                <c:pt idx="97">
                  <c:v>2.6946600000000001E-2</c:v>
                </c:pt>
                <c:pt idx="98">
                  <c:v>2.7224399999999999E-2</c:v>
                </c:pt>
                <c:pt idx="99">
                  <c:v>2.7502200000000001E-2</c:v>
                </c:pt>
                <c:pt idx="100">
                  <c:v>2.7779999999999999E-2</c:v>
                </c:pt>
                <c:pt idx="101">
                  <c:v>2.8057800000000001E-2</c:v>
                </c:pt>
                <c:pt idx="102">
                  <c:v>2.8335599999999999E-2</c:v>
                </c:pt>
                <c:pt idx="103">
                  <c:v>2.8613400000000001E-2</c:v>
                </c:pt>
                <c:pt idx="104">
                  <c:v>2.8891199999999999E-2</c:v>
                </c:pt>
                <c:pt idx="105">
                  <c:v>2.9169E-2</c:v>
                </c:pt>
                <c:pt idx="106">
                  <c:v>2.9446799999999999E-2</c:v>
                </c:pt>
                <c:pt idx="107">
                  <c:v>2.97246E-2</c:v>
                </c:pt>
                <c:pt idx="108">
                  <c:v>3.0002399999999999E-2</c:v>
                </c:pt>
                <c:pt idx="109">
                  <c:v>3.02802E-2</c:v>
                </c:pt>
                <c:pt idx="110">
                  <c:v>3.0557999999999998E-2</c:v>
                </c:pt>
                <c:pt idx="111">
                  <c:v>3.08358E-2</c:v>
                </c:pt>
                <c:pt idx="112">
                  <c:v>3.1113600000000002E-2</c:v>
                </c:pt>
                <c:pt idx="113">
                  <c:v>3.13914E-2</c:v>
                </c:pt>
                <c:pt idx="114">
                  <c:v>3.1669200000000002E-2</c:v>
                </c:pt>
                <c:pt idx="115">
                  <c:v>3.1947000000000003E-2</c:v>
                </c:pt>
                <c:pt idx="116">
                  <c:v>3.2224799999999998E-2</c:v>
                </c:pt>
                <c:pt idx="117">
                  <c:v>3.25026E-2</c:v>
                </c:pt>
                <c:pt idx="118">
                  <c:v>3.2780400000000001E-2</c:v>
                </c:pt>
                <c:pt idx="119">
                  <c:v>3.3058200000000003E-2</c:v>
                </c:pt>
                <c:pt idx="120">
                  <c:v>3.3335999999999998E-2</c:v>
                </c:pt>
                <c:pt idx="121">
                  <c:v>3.3613799999999999E-2</c:v>
                </c:pt>
                <c:pt idx="122">
                  <c:v>3.3891600000000001E-2</c:v>
                </c:pt>
                <c:pt idx="123">
                  <c:v>3.4169400000000003E-2</c:v>
                </c:pt>
                <c:pt idx="124">
                  <c:v>3.4447199999999997E-2</c:v>
                </c:pt>
                <c:pt idx="125">
                  <c:v>3.4724999999999999E-2</c:v>
                </c:pt>
                <c:pt idx="126">
                  <c:v>3.5002800000000001E-2</c:v>
                </c:pt>
                <c:pt idx="127">
                  <c:v>3.5280600000000002E-2</c:v>
                </c:pt>
                <c:pt idx="128">
                  <c:v>3.5558399999999997E-2</c:v>
                </c:pt>
                <c:pt idx="129">
                  <c:v>3.5836199999999999E-2</c:v>
                </c:pt>
                <c:pt idx="130">
                  <c:v>3.6114E-2</c:v>
                </c:pt>
                <c:pt idx="131">
                  <c:v>3.6391800000000002E-2</c:v>
                </c:pt>
                <c:pt idx="132">
                  <c:v>3.6669599999999997E-2</c:v>
                </c:pt>
                <c:pt idx="133">
                  <c:v>3.6947399999999998E-2</c:v>
                </c:pt>
                <c:pt idx="134">
                  <c:v>3.72252E-2</c:v>
                </c:pt>
                <c:pt idx="135">
                  <c:v>3.7503000000000002E-2</c:v>
                </c:pt>
                <c:pt idx="136">
                  <c:v>3.7780800000000003E-2</c:v>
                </c:pt>
                <c:pt idx="137">
                  <c:v>3.8058599999999998E-2</c:v>
                </c:pt>
                <c:pt idx="138">
                  <c:v>3.83364E-2</c:v>
                </c:pt>
                <c:pt idx="139">
                  <c:v>3.8614200000000001E-2</c:v>
                </c:pt>
                <c:pt idx="140">
                  <c:v>3.8892000000000003E-2</c:v>
                </c:pt>
                <c:pt idx="141">
                  <c:v>3.9169799999999998E-2</c:v>
                </c:pt>
                <c:pt idx="142">
                  <c:v>3.9447599999999999E-2</c:v>
                </c:pt>
                <c:pt idx="143">
                  <c:v>3.9725400000000001E-2</c:v>
                </c:pt>
                <c:pt idx="144">
                  <c:v>4.0003200000000003E-2</c:v>
                </c:pt>
                <c:pt idx="145">
                  <c:v>4.0280999999999997E-2</c:v>
                </c:pt>
                <c:pt idx="146">
                  <c:v>4.0558799999999999E-2</c:v>
                </c:pt>
                <c:pt idx="147">
                  <c:v>4.0836600000000001E-2</c:v>
                </c:pt>
                <c:pt idx="148">
                  <c:v>4.1114400000000002E-2</c:v>
                </c:pt>
                <c:pt idx="149">
                  <c:v>4.1392199999999997E-2</c:v>
                </c:pt>
                <c:pt idx="150">
                  <c:v>4.1669999999999999E-2</c:v>
                </c:pt>
                <c:pt idx="151">
                  <c:v>4.19478E-2</c:v>
                </c:pt>
                <c:pt idx="152">
                  <c:v>4.2225600000000002E-2</c:v>
                </c:pt>
                <c:pt idx="153">
                  <c:v>4.2503399999999997E-2</c:v>
                </c:pt>
                <c:pt idx="154">
                  <c:v>4.2781199999999998E-2</c:v>
                </c:pt>
                <c:pt idx="155">
                  <c:v>4.3059E-2</c:v>
                </c:pt>
                <c:pt idx="156">
                  <c:v>4.3336800000000002E-2</c:v>
                </c:pt>
                <c:pt idx="157">
                  <c:v>4.3614600000000003E-2</c:v>
                </c:pt>
                <c:pt idx="158">
                  <c:v>4.3892399999999998E-2</c:v>
                </c:pt>
                <c:pt idx="159">
                  <c:v>4.41702E-2</c:v>
                </c:pt>
                <c:pt idx="160">
                  <c:v>4.4448000000000001E-2</c:v>
                </c:pt>
                <c:pt idx="161">
                  <c:v>4.4725800000000003E-2</c:v>
                </c:pt>
                <c:pt idx="162">
                  <c:v>4.5003599999999998E-2</c:v>
                </c:pt>
                <c:pt idx="163">
                  <c:v>4.5281399999999999E-2</c:v>
                </c:pt>
                <c:pt idx="164">
                  <c:v>4.5559200000000001E-2</c:v>
                </c:pt>
                <c:pt idx="165">
                  <c:v>4.5837000000000003E-2</c:v>
                </c:pt>
                <c:pt idx="166">
                  <c:v>4.6114799999999997E-2</c:v>
                </c:pt>
                <c:pt idx="167">
                  <c:v>4.6392599999999999E-2</c:v>
                </c:pt>
                <c:pt idx="168">
                  <c:v>4.6670400000000001E-2</c:v>
                </c:pt>
                <c:pt idx="169">
                  <c:v>4.6948200000000002E-2</c:v>
                </c:pt>
                <c:pt idx="170">
                  <c:v>4.7225999999999997E-2</c:v>
                </c:pt>
                <c:pt idx="171">
                  <c:v>4.7503799999999999E-2</c:v>
                </c:pt>
                <c:pt idx="172">
                  <c:v>4.77816E-2</c:v>
                </c:pt>
                <c:pt idx="173">
                  <c:v>4.8059400000000002E-2</c:v>
                </c:pt>
                <c:pt idx="174">
                  <c:v>4.8337199999999997E-2</c:v>
                </c:pt>
                <c:pt idx="175">
                  <c:v>4.8614999999999998E-2</c:v>
                </c:pt>
                <c:pt idx="176">
                  <c:v>4.88928E-2</c:v>
                </c:pt>
                <c:pt idx="177">
                  <c:v>4.9170600000000002E-2</c:v>
                </c:pt>
                <c:pt idx="178">
                  <c:v>4.9448400000000003E-2</c:v>
                </c:pt>
                <c:pt idx="179">
                  <c:v>4.9726199999999998E-2</c:v>
                </c:pt>
                <c:pt idx="180">
                  <c:v>5.0004E-2</c:v>
                </c:pt>
                <c:pt idx="181">
                  <c:v>5.0281800000000001E-2</c:v>
                </c:pt>
                <c:pt idx="182">
                  <c:v>5.0559600000000003E-2</c:v>
                </c:pt>
                <c:pt idx="183">
                  <c:v>5.0837399999999998E-2</c:v>
                </c:pt>
                <c:pt idx="184">
                  <c:v>5.11152E-2</c:v>
                </c:pt>
                <c:pt idx="185">
                  <c:v>5.1393000000000001E-2</c:v>
                </c:pt>
                <c:pt idx="186">
                  <c:v>5.1670800000000003E-2</c:v>
                </c:pt>
                <c:pt idx="187">
                  <c:v>5.1948599999999998E-2</c:v>
                </c:pt>
                <c:pt idx="188">
                  <c:v>5.2226399999999999E-2</c:v>
                </c:pt>
                <c:pt idx="189">
                  <c:v>5.2504200000000001E-2</c:v>
                </c:pt>
                <c:pt idx="190">
                  <c:v>5.2782000000000003E-2</c:v>
                </c:pt>
                <c:pt idx="191">
                  <c:v>5.3059799999999997E-2</c:v>
                </c:pt>
                <c:pt idx="192">
                  <c:v>5.3337599999999999E-2</c:v>
                </c:pt>
                <c:pt idx="193">
                  <c:v>5.3615400000000001E-2</c:v>
                </c:pt>
                <c:pt idx="194">
                  <c:v>5.3893200000000002E-2</c:v>
                </c:pt>
                <c:pt idx="195">
                  <c:v>5.4170999999999997E-2</c:v>
                </c:pt>
              </c:numCache>
            </c:numRef>
          </c:xVal>
          <c:yVal>
            <c:numRef>
              <c:f>variable_inlet!$C$5:$C$200</c:f>
              <c:numCache>
                <c:formatCode>General</c:formatCode>
                <c:ptCount val="196"/>
                <c:pt idx="0">
                  <c:v>300000</c:v>
                </c:pt>
                <c:pt idx="1">
                  <c:v>300000</c:v>
                </c:pt>
                <c:pt idx="2">
                  <c:v>300407.2</c:v>
                </c:pt>
                <c:pt idx="3">
                  <c:v>301445.2</c:v>
                </c:pt>
                <c:pt idx="4">
                  <c:v>302897.40000000002</c:v>
                </c:pt>
                <c:pt idx="5">
                  <c:v>304258.40000000002</c:v>
                </c:pt>
                <c:pt idx="6">
                  <c:v>305351.8</c:v>
                </c:pt>
                <c:pt idx="7">
                  <c:v>306628.8</c:v>
                </c:pt>
                <c:pt idx="8">
                  <c:v>308849.2</c:v>
                </c:pt>
                <c:pt idx="9">
                  <c:v>309656.09999999998</c:v>
                </c:pt>
                <c:pt idx="10">
                  <c:v>310991.59999999998</c:v>
                </c:pt>
                <c:pt idx="11">
                  <c:v>312426.59999999998</c:v>
                </c:pt>
                <c:pt idx="12">
                  <c:v>313675.59999999998</c:v>
                </c:pt>
                <c:pt idx="13">
                  <c:v>314486.5</c:v>
                </c:pt>
                <c:pt idx="14">
                  <c:v>315257.09999999998</c:v>
                </c:pt>
                <c:pt idx="15">
                  <c:v>316005.2</c:v>
                </c:pt>
                <c:pt idx="16">
                  <c:v>316491</c:v>
                </c:pt>
                <c:pt idx="17">
                  <c:v>316382.40000000002</c:v>
                </c:pt>
                <c:pt idx="18">
                  <c:v>315854.8</c:v>
                </c:pt>
                <c:pt idx="19">
                  <c:v>314472.59999999998</c:v>
                </c:pt>
                <c:pt idx="20">
                  <c:v>312606.40000000002</c:v>
                </c:pt>
                <c:pt idx="21">
                  <c:v>310545.09999999998</c:v>
                </c:pt>
                <c:pt idx="22">
                  <c:v>308500.09999999998</c:v>
                </c:pt>
                <c:pt idx="23">
                  <c:v>306620.40000000002</c:v>
                </c:pt>
                <c:pt idx="24">
                  <c:v>305209.09999999998</c:v>
                </c:pt>
                <c:pt idx="25">
                  <c:v>303751</c:v>
                </c:pt>
                <c:pt idx="26">
                  <c:v>302433.09999999998</c:v>
                </c:pt>
                <c:pt idx="27">
                  <c:v>301360.3</c:v>
                </c:pt>
                <c:pt idx="28">
                  <c:v>301043.59999999998</c:v>
                </c:pt>
                <c:pt idx="29">
                  <c:v>301212.90000000002</c:v>
                </c:pt>
                <c:pt idx="30">
                  <c:v>301289.7</c:v>
                </c:pt>
                <c:pt idx="31">
                  <c:v>301370.8</c:v>
                </c:pt>
                <c:pt idx="32">
                  <c:v>301450.8</c:v>
                </c:pt>
                <c:pt idx="33">
                  <c:v>301525.7</c:v>
                </c:pt>
                <c:pt idx="34">
                  <c:v>301592.59999999998</c:v>
                </c:pt>
                <c:pt idx="35">
                  <c:v>301650.8</c:v>
                </c:pt>
                <c:pt idx="36">
                  <c:v>301699.8</c:v>
                </c:pt>
                <c:pt idx="37">
                  <c:v>301739.2</c:v>
                </c:pt>
                <c:pt idx="38">
                  <c:v>301768.8</c:v>
                </c:pt>
                <c:pt idx="39">
                  <c:v>301789.2</c:v>
                </c:pt>
                <c:pt idx="40">
                  <c:v>301801.5</c:v>
                </c:pt>
                <c:pt idx="41">
                  <c:v>301807.09999999998</c:v>
                </c:pt>
                <c:pt idx="42">
                  <c:v>301807.5</c:v>
                </c:pt>
                <c:pt idx="43">
                  <c:v>301804.2</c:v>
                </c:pt>
                <c:pt idx="44">
                  <c:v>301799.09999999998</c:v>
                </c:pt>
                <c:pt idx="45">
                  <c:v>301794</c:v>
                </c:pt>
                <c:pt idx="46">
                  <c:v>301791.5</c:v>
                </c:pt>
                <c:pt idx="47">
                  <c:v>301794.2</c:v>
                </c:pt>
                <c:pt idx="48">
                  <c:v>301805.90000000002</c:v>
                </c:pt>
                <c:pt idx="49">
                  <c:v>301830.90000000002</c:v>
                </c:pt>
                <c:pt idx="50">
                  <c:v>301873.40000000002</c:v>
                </c:pt>
                <c:pt idx="51">
                  <c:v>301936.7</c:v>
                </c:pt>
                <c:pt idx="52">
                  <c:v>302021.3</c:v>
                </c:pt>
                <c:pt idx="53">
                  <c:v>302124.59999999998</c:v>
                </c:pt>
                <c:pt idx="54">
                  <c:v>302241.59999999998</c:v>
                </c:pt>
                <c:pt idx="55">
                  <c:v>302365.8</c:v>
                </c:pt>
                <c:pt idx="56">
                  <c:v>302490.09999999998</c:v>
                </c:pt>
                <c:pt idx="57">
                  <c:v>302606.09999999998</c:v>
                </c:pt>
                <c:pt idx="58">
                  <c:v>302707.8</c:v>
                </c:pt>
                <c:pt idx="59">
                  <c:v>302790.90000000002</c:v>
                </c:pt>
                <c:pt idx="60">
                  <c:v>302852.40000000002</c:v>
                </c:pt>
                <c:pt idx="61">
                  <c:v>302891.8</c:v>
                </c:pt>
                <c:pt idx="62">
                  <c:v>302910.7</c:v>
                </c:pt>
                <c:pt idx="63">
                  <c:v>302911.8</c:v>
                </c:pt>
                <c:pt idx="64">
                  <c:v>302898</c:v>
                </c:pt>
                <c:pt idx="65">
                  <c:v>302872.90000000002</c:v>
                </c:pt>
                <c:pt idx="66">
                  <c:v>302839.90000000002</c:v>
                </c:pt>
                <c:pt idx="67">
                  <c:v>302802.40000000002</c:v>
                </c:pt>
                <c:pt idx="68">
                  <c:v>302764.2</c:v>
                </c:pt>
                <c:pt idx="69">
                  <c:v>302729</c:v>
                </c:pt>
                <c:pt idx="70">
                  <c:v>302704.2</c:v>
                </c:pt>
                <c:pt idx="71">
                  <c:v>302692.8</c:v>
                </c:pt>
                <c:pt idx="72">
                  <c:v>302707.3</c:v>
                </c:pt>
                <c:pt idx="73">
                  <c:v>303168.7</c:v>
                </c:pt>
                <c:pt idx="74">
                  <c:v>304318.8</c:v>
                </c:pt>
                <c:pt idx="75">
                  <c:v>305938.40000000002</c:v>
                </c:pt>
                <c:pt idx="76">
                  <c:v>307475.7</c:v>
                </c:pt>
                <c:pt idx="77">
                  <c:v>308682.40000000002</c:v>
                </c:pt>
                <c:pt idx="78">
                  <c:v>310008.2</c:v>
                </c:pt>
                <c:pt idx="79">
                  <c:v>311132.90000000002</c:v>
                </c:pt>
                <c:pt idx="80">
                  <c:v>311971.90000000002</c:v>
                </c:pt>
                <c:pt idx="81">
                  <c:v>312694.7</c:v>
                </c:pt>
                <c:pt idx="82">
                  <c:v>313711.40000000002</c:v>
                </c:pt>
                <c:pt idx="83">
                  <c:v>314823.8</c:v>
                </c:pt>
                <c:pt idx="84">
                  <c:v>315760.8</c:v>
                </c:pt>
                <c:pt idx="85">
                  <c:v>316259.3</c:v>
                </c:pt>
                <c:pt idx="86">
                  <c:v>316740.2</c:v>
                </c:pt>
                <c:pt idx="87">
                  <c:v>317197.90000000002</c:v>
                </c:pt>
                <c:pt idx="88">
                  <c:v>317346.8</c:v>
                </c:pt>
                <c:pt idx="89">
                  <c:v>316861.8</c:v>
                </c:pt>
                <c:pt idx="90">
                  <c:v>316011</c:v>
                </c:pt>
                <c:pt idx="91">
                  <c:v>314414.2</c:v>
                </c:pt>
                <c:pt idx="92">
                  <c:v>312351.59999999998</c:v>
                </c:pt>
                <c:pt idx="93">
                  <c:v>310061.2</c:v>
                </c:pt>
                <c:pt idx="94">
                  <c:v>307767.90000000002</c:v>
                </c:pt>
                <c:pt idx="95">
                  <c:v>305664.2</c:v>
                </c:pt>
                <c:pt idx="96">
                  <c:v>304060.59999999998</c:v>
                </c:pt>
                <c:pt idx="97">
                  <c:v>302415.09999999998</c:v>
                </c:pt>
                <c:pt idx="98">
                  <c:v>300927.59999999998</c:v>
                </c:pt>
                <c:pt idx="99">
                  <c:v>299709.7</c:v>
                </c:pt>
                <c:pt idx="100">
                  <c:v>299287.8</c:v>
                </c:pt>
                <c:pt idx="101">
                  <c:v>299372.3</c:v>
                </c:pt>
                <c:pt idx="102">
                  <c:v>299365.09999999998</c:v>
                </c:pt>
                <c:pt idx="103">
                  <c:v>299358.8</c:v>
                </c:pt>
                <c:pt idx="104">
                  <c:v>299347.20000000001</c:v>
                </c:pt>
                <c:pt idx="105">
                  <c:v>299327.90000000002</c:v>
                </c:pt>
                <c:pt idx="106">
                  <c:v>299301.5</c:v>
                </c:pt>
                <c:pt idx="107">
                  <c:v>299269.5</c:v>
                </c:pt>
                <c:pt idx="108">
                  <c:v>299233.2</c:v>
                </c:pt>
                <c:pt idx="109">
                  <c:v>299193</c:v>
                </c:pt>
                <c:pt idx="110">
                  <c:v>299150.8</c:v>
                </c:pt>
                <c:pt idx="111">
                  <c:v>299108.09999999998</c:v>
                </c:pt>
                <c:pt idx="112">
                  <c:v>299065.90000000002</c:v>
                </c:pt>
                <c:pt idx="113">
                  <c:v>299024.8</c:v>
                </c:pt>
                <c:pt idx="114">
                  <c:v>298985.2</c:v>
                </c:pt>
                <c:pt idx="115">
                  <c:v>298947.7</c:v>
                </c:pt>
                <c:pt idx="116">
                  <c:v>298912.2</c:v>
                </c:pt>
                <c:pt idx="117">
                  <c:v>298879.2</c:v>
                </c:pt>
                <c:pt idx="118">
                  <c:v>298849.40000000002</c:v>
                </c:pt>
                <c:pt idx="119">
                  <c:v>298824</c:v>
                </c:pt>
                <c:pt idx="120">
                  <c:v>298804.7</c:v>
                </c:pt>
                <c:pt idx="121">
                  <c:v>298794.59999999998</c:v>
                </c:pt>
                <c:pt idx="122">
                  <c:v>298799.3</c:v>
                </c:pt>
                <c:pt idx="123">
                  <c:v>298826.2</c:v>
                </c:pt>
                <c:pt idx="124">
                  <c:v>298881</c:v>
                </c:pt>
                <c:pt idx="125">
                  <c:v>298963.20000000001</c:v>
                </c:pt>
                <c:pt idx="126">
                  <c:v>299066.2</c:v>
                </c:pt>
                <c:pt idx="127">
                  <c:v>299179.8</c:v>
                </c:pt>
                <c:pt idx="128">
                  <c:v>299292.79999999999</c:v>
                </c:pt>
                <c:pt idx="129">
                  <c:v>299397.5</c:v>
                </c:pt>
                <c:pt idx="130">
                  <c:v>299489.3</c:v>
                </c:pt>
                <c:pt idx="131">
                  <c:v>299566.90000000002</c:v>
                </c:pt>
                <c:pt idx="132">
                  <c:v>299629.2</c:v>
                </c:pt>
                <c:pt idx="133">
                  <c:v>299675.59999999998</c:v>
                </c:pt>
                <c:pt idx="134">
                  <c:v>299706.7</c:v>
                </c:pt>
                <c:pt idx="135">
                  <c:v>299723.90000000002</c:v>
                </c:pt>
                <c:pt idx="136">
                  <c:v>299730.09999999998</c:v>
                </c:pt>
                <c:pt idx="137">
                  <c:v>299729.09999999998</c:v>
                </c:pt>
                <c:pt idx="138">
                  <c:v>299726.09999999998</c:v>
                </c:pt>
                <c:pt idx="139">
                  <c:v>299727.8</c:v>
                </c:pt>
                <c:pt idx="140">
                  <c:v>299743.40000000002</c:v>
                </c:pt>
                <c:pt idx="141">
                  <c:v>299786.5</c:v>
                </c:pt>
                <c:pt idx="142">
                  <c:v>299871.90000000002</c:v>
                </c:pt>
                <c:pt idx="143">
                  <c:v>300007.59999999998</c:v>
                </c:pt>
                <c:pt idx="144">
                  <c:v>300166.90000000002</c:v>
                </c:pt>
                <c:pt idx="145">
                  <c:v>300779.3</c:v>
                </c:pt>
                <c:pt idx="146">
                  <c:v>302021.59999999998</c:v>
                </c:pt>
                <c:pt idx="147">
                  <c:v>303663.90000000002</c:v>
                </c:pt>
                <c:pt idx="148">
                  <c:v>305145.5</c:v>
                </c:pt>
                <c:pt idx="149">
                  <c:v>306268.79999999999</c:v>
                </c:pt>
                <c:pt idx="150">
                  <c:v>307497.2</c:v>
                </c:pt>
                <c:pt idx="151">
                  <c:v>308516.2</c:v>
                </c:pt>
                <c:pt idx="152">
                  <c:v>309229.2</c:v>
                </c:pt>
                <c:pt idx="153">
                  <c:v>309871</c:v>
                </c:pt>
                <c:pt idx="154">
                  <c:v>310897.2</c:v>
                </c:pt>
                <c:pt idx="155">
                  <c:v>312092.09999999998</c:v>
                </c:pt>
                <c:pt idx="156">
                  <c:v>313170.3</c:v>
                </c:pt>
                <c:pt idx="157">
                  <c:v>313834.5</c:v>
                </c:pt>
                <c:pt idx="158">
                  <c:v>314471.59999999998</c:v>
                </c:pt>
                <c:pt idx="159">
                  <c:v>315076.3</c:v>
                </c:pt>
                <c:pt idx="160">
                  <c:v>315400</c:v>
                </c:pt>
                <c:pt idx="161">
                  <c:v>315146.59999999998</c:v>
                </c:pt>
                <c:pt idx="162">
                  <c:v>314514.09999999998</c:v>
                </c:pt>
                <c:pt idx="163">
                  <c:v>313034</c:v>
                </c:pt>
                <c:pt idx="164">
                  <c:v>311048.7</c:v>
                </c:pt>
                <c:pt idx="165">
                  <c:v>308875.40000000002</c:v>
                </c:pt>
                <c:pt idx="166">
                  <c:v>306721.3</c:v>
                </c:pt>
                <c:pt idx="167">
                  <c:v>304723.90000000002</c:v>
                </c:pt>
                <c:pt idx="168">
                  <c:v>303190.8</c:v>
                </c:pt>
                <c:pt idx="169">
                  <c:v>301608.2</c:v>
                </c:pt>
                <c:pt idx="170">
                  <c:v>300176.5</c:v>
                </c:pt>
                <c:pt idx="171">
                  <c:v>299003.7</c:v>
                </c:pt>
                <c:pt idx="172">
                  <c:v>298607.3</c:v>
                </c:pt>
                <c:pt idx="173">
                  <c:v>298711.5</c:v>
                </c:pt>
                <c:pt idx="174">
                  <c:v>298724</c:v>
                </c:pt>
                <c:pt idx="175">
                  <c:v>298739.7</c:v>
                </c:pt>
                <c:pt idx="176">
                  <c:v>298752.3</c:v>
                </c:pt>
                <c:pt idx="177">
                  <c:v>298758.40000000002</c:v>
                </c:pt>
                <c:pt idx="178">
                  <c:v>298757.09999999998</c:v>
                </c:pt>
                <c:pt idx="179">
                  <c:v>298749.3</c:v>
                </c:pt>
                <c:pt idx="180">
                  <c:v>298735.90000000002</c:v>
                </c:pt>
                <c:pt idx="181">
                  <c:v>298717.3</c:v>
                </c:pt>
                <c:pt idx="182">
                  <c:v>298694.8</c:v>
                </c:pt>
                <c:pt idx="183">
                  <c:v>298669.5</c:v>
                </c:pt>
                <c:pt idx="184">
                  <c:v>298642.7</c:v>
                </c:pt>
                <c:pt idx="185">
                  <c:v>298614.90000000002</c:v>
                </c:pt>
                <c:pt idx="186">
                  <c:v>298586.8</c:v>
                </c:pt>
                <c:pt idx="187">
                  <c:v>298559</c:v>
                </c:pt>
                <c:pt idx="188">
                  <c:v>298532</c:v>
                </c:pt>
                <c:pt idx="189">
                  <c:v>298506.5</c:v>
                </c:pt>
                <c:pt idx="190">
                  <c:v>298483.59999999998</c:v>
                </c:pt>
                <c:pt idx="191">
                  <c:v>298464.59999999998</c:v>
                </c:pt>
                <c:pt idx="192">
                  <c:v>298451.20000000001</c:v>
                </c:pt>
                <c:pt idx="193">
                  <c:v>298445.59999999998</c:v>
                </c:pt>
                <c:pt idx="194">
                  <c:v>298450.8</c:v>
                </c:pt>
                <c:pt idx="195">
                  <c:v>298470.2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EBA-4372-A091-21E8DA4564FA}"/>
            </c:ext>
          </c:extLst>
        </c:ser>
        <c:ser>
          <c:idx val="1"/>
          <c:order val="1"/>
          <c:tx>
            <c:strRef>
              <c:f>variable_inlet!$E$1</c:f>
              <c:strCache>
                <c:ptCount val="1"/>
                <c:pt idx="0">
                  <c:v>1 kierownica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variable_inlet!$H$5:$H$200</c:f>
              <c:numCache>
                <c:formatCode>General</c:formatCode>
                <c:ptCount val="196"/>
                <c:pt idx="0">
                  <c:v>0</c:v>
                </c:pt>
                <c:pt idx="1">
                  <c:v>2.7779999999999998E-4</c:v>
                </c:pt>
                <c:pt idx="2">
                  <c:v>5.5559999999999995E-4</c:v>
                </c:pt>
                <c:pt idx="3">
                  <c:v>8.3339989999999995E-4</c:v>
                </c:pt>
                <c:pt idx="4">
                  <c:v>1.1111999999999999E-3</c:v>
                </c:pt>
                <c:pt idx="5">
                  <c:v>1.389E-3</c:v>
                </c:pt>
                <c:pt idx="6">
                  <c:v>1.6668E-3</c:v>
                </c:pt>
                <c:pt idx="7">
                  <c:v>1.9446000000000001E-3</c:v>
                </c:pt>
                <c:pt idx="8">
                  <c:v>2.2223999999999998E-3</c:v>
                </c:pt>
                <c:pt idx="9">
                  <c:v>2.5002000000000002E-3</c:v>
                </c:pt>
                <c:pt idx="10">
                  <c:v>2.7780000000000001E-3</c:v>
                </c:pt>
                <c:pt idx="11">
                  <c:v>3.0558E-3</c:v>
                </c:pt>
                <c:pt idx="12">
                  <c:v>3.3335999999999999E-3</c:v>
                </c:pt>
                <c:pt idx="13">
                  <c:v>3.6113999999999999E-3</c:v>
                </c:pt>
                <c:pt idx="14">
                  <c:v>3.8892000000000002E-3</c:v>
                </c:pt>
                <c:pt idx="15">
                  <c:v>4.1669999999999997E-3</c:v>
                </c:pt>
                <c:pt idx="16">
                  <c:v>4.4447999999999996E-3</c:v>
                </c:pt>
                <c:pt idx="17">
                  <c:v>4.7226000000000004E-3</c:v>
                </c:pt>
                <c:pt idx="18">
                  <c:v>5.0004000000000003E-3</c:v>
                </c:pt>
                <c:pt idx="19">
                  <c:v>5.2782000000000003E-3</c:v>
                </c:pt>
                <c:pt idx="20">
                  <c:v>5.5560000000000002E-3</c:v>
                </c:pt>
                <c:pt idx="21">
                  <c:v>5.8338000000000001E-3</c:v>
                </c:pt>
                <c:pt idx="22">
                  <c:v>6.1116E-3</c:v>
                </c:pt>
                <c:pt idx="23">
                  <c:v>6.3893999999999999E-3</c:v>
                </c:pt>
                <c:pt idx="24">
                  <c:v>6.6671999999999999E-3</c:v>
                </c:pt>
                <c:pt idx="25">
                  <c:v>6.9449999999999998E-3</c:v>
                </c:pt>
                <c:pt idx="26">
                  <c:v>7.2227999999999997E-3</c:v>
                </c:pt>
                <c:pt idx="27">
                  <c:v>7.5005999999999996E-3</c:v>
                </c:pt>
                <c:pt idx="28">
                  <c:v>7.7784000000000004E-3</c:v>
                </c:pt>
                <c:pt idx="29">
                  <c:v>8.0561999999999995E-3</c:v>
                </c:pt>
                <c:pt idx="30">
                  <c:v>8.3339999999999994E-3</c:v>
                </c:pt>
                <c:pt idx="31">
                  <c:v>8.6117999999999993E-3</c:v>
                </c:pt>
                <c:pt idx="32">
                  <c:v>8.8895999999999992E-3</c:v>
                </c:pt>
                <c:pt idx="33">
                  <c:v>9.1673989999999997E-3</c:v>
                </c:pt>
                <c:pt idx="34">
                  <c:v>9.4452000000000008E-3</c:v>
                </c:pt>
                <c:pt idx="35">
                  <c:v>9.7229989999999995E-3</c:v>
                </c:pt>
                <c:pt idx="36">
                  <c:v>1.0000800000000001E-2</c:v>
                </c:pt>
                <c:pt idx="37">
                  <c:v>1.0278600000000001E-2</c:v>
                </c:pt>
                <c:pt idx="38">
                  <c:v>1.0556400000000001E-2</c:v>
                </c:pt>
                <c:pt idx="39">
                  <c:v>1.08342E-2</c:v>
                </c:pt>
                <c:pt idx="40">
                  <c:v>1.1112E-2</c:v>
                </c:pt>
                <c:pt idx="41">
                  <c:v>1.13898E-2</c:v>
                </c:pt>
                <c:pt idx="42">
                  <c:v>1.16676E-2</c:v>
                </c:pt>
                <c:pt idx="43">
                  <c:v>1.19454E-2</c:v>
                </c:pt>
                <c:pt idx="44">
                  <c:v>1.22232E-2</c:v>
                </c:pt>
                <c:pt idx="45">
                  <c:v>1.2501E-2</c:v>
                </c:pt>
                <c:pt idx="46">
                  <c:v>1.27788E-2</c:v>
                </c:pt>
                <c:pt idx="47">
                  <c:v>1.30566E-2</c:v>
                </c:pt>
                <c:pt idx="48">
                  <c:v>1.33344E-2</c:v>
                </c:pt>
                <c:pt idx="49">
                  <c:v>1.36122E-2</c:v>
                </c:pt>
                <c:pt idx="50">
                  <c:v>1.389E-2</c:v>
                </c:pt>
                <c:pt idx="51">
                  <c:v>1.4167799999999999E-2</c:v>
                </c:pt>
                <c:pt idx="52">
                  <c:v>1.4445599999999999E-2</c:v>
                </c:pt>
                <c:pt idx="53">
                  <c:v>1.4723399999999999E-2</c:v>
                </c:pt>
                <c:pt idx="54">
                  <c:v>1.5001199999999999E-2</c:v>
                </c:pt>
                <c:pt idx="55">
                  <c:v>1.5278999999999999E-2</c:v>
                </c:pt>
                <c:pt idx="56">
                  <c:v>1.5556800000000001E-2</c:v>
                </c:pt>
                <c:pt idx="57">
                  <c:v>1.5834600000000001E-2</c:v>
                </c:pt>
                <c:pt idx="58">
                  <c:v>1.6112399999999999E-2</c:v>
                </c:pt>
                <c:pt idx="59">
                  <c:v>1.6390200000000001E-2</c:v>
                </c:pt>
                <c:pt idx="60">
                  <c:v>1.6667999999999999E-2</c:v>
                </c:pt>
                <c:pt idx="61">
                  <c:v>1.69458E-2</c:v>
                </c:pt>
                <c:pt idx="62">
                  <c:v>1.7223599999999999E-2</c:v>
                </c:pt>
                <c:pt idx="63">
                  <c:v>1.75014E-2</c:v>
                </c:pt>
                <c:pt idx="64">
                  <c:v>1.7779199999999998E-2</c:v>
                </c:pt>
                <c:pt idx="65">
                  <c:v>1.8057E-2</c:v>
                </c:pt>
                <c:pt idx="66">
                  <c:v>1.8334799999999998E-2</c:v>
                </c:pt>
                <c:pt idx="67">
                  <c:v>1.86126E-2</c:v>
                </c:pt>
                <c:pt idx="68">
                  <c:v>1.8890400000000002E-2</c:v>
                </c:pt>
                <c:pt idx="69">
                  <c:v>1.91682E-2</c:v>
                </c:pt>
                <c:pt idx="70">
                  <c:v>1.9446000000000001E-2</c:v>
                </c:pt>
                <c:pt idx="71">
                  <c:v>1.97238E-2</c:v>
                </c:pt>
                <c:pt idx="72">
                  <c:v>2.0001600000000001E-2</c:v>
                </c:pt>
                <c:pt idx="73">
                  <c:v>2.02794E-2</c:v>
                </c:pt>
                <c:pt idx="74">
                  <c:v>2.0557200000000001E-2</c:v>
                </c:pt>
                <c:pt idx="75">
                  <c:v>2.0834999999999999E-2</c:v>
                </c:pt>
                <c:pt idx="76">
                  <c:v>2.1112800000000001E-2</c:v>
                </c:pt>
                <c:pt idx="77">
                  <c:v>2.1390599999999999E-2</c:v>
                </c:pt>
                <c:pt idx="78">
                  <c:v>2.1668400000000001E-2</c:v>
                </c:pt>
                <c:pt idx="79">
                  <c:v>2.1946199999999999E-2</c:v>
                </c:pt>
                <c:pt idx="80">
                  <c:v>2.2224000000000001E-2</c:v>
                </c:pt>
                <c:pt idx="81">
                  <c:v>2.2501799999999999E-2</c:v>
                </c:pt>
                <c:pt idx="82">
                  <c:v>2.2779600000000001E-2</c:v>
                </c:pt>
                <c:pt idx="83">
                  <c:v>2.3057399999999999E-2</c:v>
                </c:pt>
                <c:pt idx="84">
                  <c:v>2.33352E-2</c:v>
                </c:pt>
                <c:pt idx="85">
                  <c:v>2.3612999999999999E-2</c:v>
                </c:pt>
                <c:pt idx="86">
                  <c:v>2.38908E-2</c:v>
                </c:pt>
                <c:pt idx="87">
                  <c:v>2.4168599999999998E-2</c:v>
                </c:pt>
                <c:pt idx="88">
                  <c:v>2.44464E-2</c:v>
                </c:pt>
                <c:pt idx="89">
                  <c:v>2.4724200000000002E-2</c:v>
                </c:pt>
                <c:pt idx="90">
                  <c:v>2.5002E-2</c:v>
                </c:pt>
                <c:pt idx="91">
                  <c:v>2.5279800000000002E-2</c:v>
                </c:pt>
                <c:pt idx="92">
                  <c:v>2.55576E-2</c:v>
                </c:pt>
                <c:pt idx="93">
                  <c:v>2.5835400000000001E-2</c:v>
                </c:pt>
                <c:pt idx="94">
                  <c:v>2.61132E-2</c:v>
                </c:pt>
                <c:pt idx="95">
                  <c:v>2.6391000000000001E-2</c:v>
                </c:pt>
                <c:pt idx="96">
                  <c:v>2.6668799999999999E-2</c:v>
                </c:pt>
                <c:pt idx="97">
                  <c:v>2.6946600000000001E-2</c:v>
                </c:pt>
                <c:pt idx="98">
                  <c:v>2.7224399999999999E-2</c:v>
                </c:pt>
                <c:pt idx="99">
                  <c:v>2.7502200000000001E-2</c:v>
                </c:pt>
                <c:pt idx="100">
                  <c:v>2.7779999999999999E-2</c:v>
                </c:pt>
                <c:pt idx="101">
                  <c:v>2.8057800000000001E-2</c:v>
                </c:pt>
                <c:pt idx="102">
                  <c:v>2.8335599999999999E-2</c:v>
                </c:pt>
                <c:pt idx="103">
                  <c:v>2.8613400000000001E-2</c:v>
                </c:pt>
                <c:pt idx="104">
                  <c:v>2.8891199999999999E-2</c:v>
                </c:pt>
                <c:pt idx="105">
                  <c:v>2.9169E-2</c:v>
                </c:pt>
                <c:pt idx="106">
                  <c:v>2.9446799999999999E-2</c:v>
                </c:pt>
                <c:pt idx="107">
                  <c:v>2.97246E-2</c:v>
                </c:pt>
                <c:pt idx="108">
                  <c:v>3.0002399999999999E-2</c:v>
                </c:pt>
                <c:pt idx="109">
                  <c:v>3.02802E-2</c:v>
                </c:pt>
                <c:pt idx="110">
                  <c:v>3.0557999999999998E-2</c:v>
                </c:pt>
                <c:pt idx="111">
                  <c:v>3.08358E-2</c:v>
                </c:pt>
                <c:pt idx="112">
                  <c:v>3.1113600000000002E-2</c:v>
                </c:pt>
                <c:pt idx="113">
                  <c:v>3.13914E-2</c:v>
                </c:pt>
                <c:pt idx="114">
                  <c:v>3.1669200000000002E-2</c:v>
                </c:pt>
                <c:pt idx="115">
                  <c:v>3.1947000000000003E-2</c:v>
                </c:pt>
                <c:pt idx="116">
                  <c:v>3.2224799999999998E-2</c:v>
                </c:pt>
                <c:pt idx="117">
                  <c:v>3.25026E-2</c:v>
                </c:pt>
                <c:pt idx="118">
                  <c:v>3.2780400000000001E-2</c:v>
                </c:pt>
                <c:pt idx="119">
                  <c:v>3.3058200000000003E-2</c:v>
                </c:pt>
                <c:pt idx="120">
                  <c:v>3.3335999999999998E-2</c:v>
                </c:pt>
                <c:pt idx="121">
                  <c:v>3.3613799999999999E-2</c:v>
                </c:pt>
                <c:pt idx="122">
                  <c:v>3.3891600000000001E-2</c:v>
                </c:pt>
                <c:pt idx="123">
                  <c:v>3.4169400000000003E-2</c:v>
                </c:pt>
                <c:pt idx="124">
                  <c:v>3.4447199999999997E-2</c:v>
                </c:pt>
                <c:pt idx="125">
                  <c:v>3.4724999999999999E-2</c:v>
                </c:pt>
                <c:pt idx="126">
                  <c:v>3.5002800000000001E-2</c:v>
                </c:pt>
                <c:pt idx="127">
                  <c:v>3.5280600000000002E-2</c:v>
                </c:pt>
                <c:pt idx="128">
                  <c:v>3.5558399999999997E-2</c:v>
                </c:pt>
                <c:pt idx="129">
                  <c:v>3.5836199999999999E-2</c:v>
                </c:pt>
                <c:pt idx="130">
                  <c:v>3.6114E-2</c:v>
                </c:pt>
                <c:pt idx="131">
                  <c:v>3.6391800000000002E-2</c:v>
                </c:pt>
                <c:pt idx="132">
                  <c:v>3.6669599999999997E-2</c:v>
                </c:pt>
                <c:pt idx="133">
                  <c:v>3.6947399999999998E-2</c:v>
                </c:pt>
                <c:pt idx="134">
                  <c:v>3.72252E-2</c:v>
                </c:pt>
                <c:pt idx="135">
                  <c:v>3.7503000000000002E-2</c:v>
                </c:pt>
                <c:pt idx="136">
                  <c:v>3.7780800000000003E-2</c:v>
                </c:pt>
                <c:pt idx="137">
                  <c:v>3.8058599999999998E-2</c:v>
                </c:pt>
                <c:pt idx="138">
                  <c:v>3.83364E-2</c:v>
                </c:pt>
                <c:pt idx="139">
                  <c:v>3.8614200000000001E-2</c:v>
                </c:pt>
                <c:pt idx="140">
                  <c:v>3.8892000000000003E-2</c:v>
                </c:pt>
                <c:pt idx="141">
                  <c:v>3.9169799999999998E-2</c:v>
                </c:pt>
                <c:pt idx="142">
                  <c:v>3.9447599999999999E-2</c:v>
                </c:pt>
                <c:pt idx="143">
                  <c:v>3.9725400000000001E-2</c:v>
                </c:pt>
                <c:pt idx="144">
                  <c:v>4.0003200000000003E-2</c:v>
                </c:pt>
                <c:pt idx="145">
                  <c:v>4.0280999999999997E-2</c:v>
                </c:pt>
                <c:pt idx="146">
                  <c:v>4.0558799999999999E-2</c:v>
                </c:pt>
                <c:pt idx="147">
                  <c:v>4.0836600000000001E-2</c:v>
                </c:pt>
                <c:pt idx="148">
                  <c:v>4.1114400000000002E-2</c:v>
                </c:pt>
                <c:pt idx="149">
                  <c:v>4.1392199999999997E-2</c:v>
                </c:pt>
                <c:pt idx="150">
                  <c:v>4.1669999999999999E-2</c:v>
                </c:pt>
                <c:pt idx="151">
                  <c:v>4.19478E-2</c:v>
                </c:pt>
                <c:pt idx="152">
                  <c:v>4.2225600000000002E-2</c:v>
                </c:pt>
                <c:pt idx="153">
                  <c:v>4.2503399999999997E-2</c:v>
                </c:pt>
                <c:pt idx="154">
                  <c:v>4.2781199999999998E-2</c:v>
                </c:pt>
                <c:pt idx="155">
                  <c:v>4.3059E-2</c:v>
                </c:pt>
                <c:pt idx="156">
                  <c:v>4.3336800000000002E-2</c:v>
                </c:pt>
                <c:pt idx="157">
                  <c:v>4.3614600000000003E-2</c:v>
                </c:pt>
                <c:pt idx="158">
                  <c:v>4.3892399999999998E-2</c:v>
                </c:pt>
                <c:pt idx="159">
                  <c:v>4.41702E-2</c:v>
                </c:pt>
                <c:pt idx="160">
                  <c:v>4.4448000000000001E-2</c:v>
                </c:pt>
                <c:pt idx="161">
                  <c:v>4.4725800000000003E-2</c:v>
                </c:pt>
                <c:pt idx="162">
                  <c:v>4.5003599999999998E-2</c:v>
                </c:pt>
                <c:pt idx="163">
                  <c:v>4.5281399999999999E-2</c:v>
                </c:pt>
                <c:pt idx="164">
                  <c:v>4.5559200000000001E-2</c:v>
                </c:pt>
                <c:pt idx="165">
                  <c:v>4.5837000000000003E-2</c:v>
                </c:pt>
                <c:pt idx="166">
                  <c:v>4.6114799999999997E-2</c:v>
                </c:pt>
                <c:pt idx="167">
                  <c:v>4.6392599999999999E-2</c:v>
                </c:pt>
                <c:pt idx="168">
                  <c:v>4.6670400000000001E-2</c:v>
                </c:pt>
                <c:pt idx="169">
                  <c:v>4.6948200000000002E-2</c:v>
                </c:pt>
                <c:pt idx="170">
                  <c:v>4.7225999999999997E-2</c:v>
                </c:pt>
                <c:pt idx="171">
                  <c:v>4.7503799999999999E-2</c:v>
                </c:pt>
                <c:pt idx="172">
                  <c:v>4.77816E-2</c:v>
                </c:pt>
                <c:pt idx="173">
                  <c:v>4.8059400000000002E-2</c:v>
                </c:pt>
                <c:pt idx="174">
                  <c:v>4.8337199999999997E-2</c:v>
                </c:pt>
                <c:pt idx="175">
                  <c:v>4.8614999999999998E-2</c:v>
                </c:pt>
                <c:pt idx="176">
                  <c:v>4.88928E-2</c:v>
                </c:pt>
                <c:pt idx="177">
                  <c:v>4.9170600000000002E-2</c:v>
                </c:pt>
                <c:pt idx="178">
                  <c:v>4.9448400000000003E-2</c:v>
                </c:pt>
                <c:pt idx="179">
                  <c:v>4.9726199999999998E-2</c:v>
                </c:pt>
                <c:pt idx="180">
                  <c:v>5.0004E-2</c:v>
                </c:pt>
                <c:pt idx="181">
                  <c:v>5.0281800000000001E-2</c:v>
                </c:pt>
                <c:pt idx="182">
                  <c:v>5.0559600000000003E-2</c:v>
                </c:pt>
                <c:pt idx="183">
                  <c:v>5.0837399999999998E-2</c:v>
                </c:pt>
                <c:pt idx="184">
                  <c:v>5.11152E-2</c:v>
                </c:pt>
                <c:pt idx="185">
                  <c:v>5.1393000000000001E-2</c:v>
                </c:pt>
                <c:pt idx="186">
                  <c:v>5.1670800000000003E-2</c:v>
                </c:pt>
                <c:pt idx="187">
                  <c:v>5.1948599999999998E-2</c:v>
                </c:pt>
                <c:pt idx="188">
                  <c:v>5.2226399999999999E-2</c:v>
                </c:pt>
                <c:pt idx="189">
                  <c:v>5.2504200000000001E-2</c:v>
                </c:pt>
                <c:pt idx="190">
                  <c:v>5.2782000000000003E-2</c:v>
                </c:pt>
                <c:pt idx="191">
                  <c:v>5.3059799999999997E-2</c:v>
                </c:pt>
                <c:pt idx="192">
                  <c:v>5.3337599999999999E-2</c:v>
                </c:pt>
                <c:pt idx="193">
                  <c:v>5.3615400000000001E-2</c:v>
                </c:pt>
                <c:pt idx="194">
                  <c:v>5.3893200000000002E-2</c:v>
                </c:pt>
                <c:pt idx="195">
                  <c:v>5.4170999999999997E-2</c:v>
                </c:pt>
              </c:numCache>
            </c:numRef>
          </c:xVal>
          <c:yVal>
            <c:numRef>
              <c:f>variable_inlet!$G$5:$G$200</c:f>
              <c:numCache>
                <c:formatCode>General</c:formatCode>
                <c:ptCount val="196"/>
                <c:pt idx="0">
                  <c:v>299999.8</c:v>
                </c:pt>
                <c:pt idx="1">
                  <c:v>299999.8</c:v>
                </c:pt>
                <c:pt idx="2">
                  <c:v>300406.8</c:v>
                </c:pt>
                <c:pt idx="3">
                  <c:v>301443.5</c:v>
                </c:pt>
                <c:pt idx="4">
                  <c:v>302894.5</c:v>
                </c:pt>
                <c:pt idx="5">
                  <c:v>304256.3</c:v>
                </c:pt>
                <c:pt idx="6">
                  <c:v>305351</c:v>
                </c:pt>
                <c:pt idx="7">
                  <c:v>306627.20000000001</c:v>
                </c:pt>
                <c:pt idx="8">
                  <c:v>308845.90000000002</c:v>
                </c:pt>
                <c:pt idx="9">
                  <c:v>309654.8</c:v>
                </c:pt>
                <c:pt idx="10">
                  <c:v>310990.8</c:v>
                </c:pt>
                <c:pt idx="11">
                  <c:v>312426.3</c:v>
                </c:pt>
                <c:pt idx="12">
                  <c:v>313675.90000000002</c:v>
                </c:pt>
                <c:pt idx="13">
                  <c:v>314486.90000000002</c:v>
                </c:pt>
                <c:pt idx="14">
                  <c:v>315256.7</c:v>
                </c:pt>
                <c:pt idx="15">
                  <c:v>316004.5</c:v>
                </c:pt>
                <c:pt idx="16">
                  <c:v>316490.8</c:v>
                </c:pt>
                <c:pt idx="17">
                  <c:v>316383.09999999998</c:v>
                </c:pt>
                <c:pt idx="18">
                  <c:v>315854.90000000002</c:v>
                </c:pt>
                <c:pt idx="19">
                  <c:v>314471.59999999998</c:v>
                </c:pt>
                <c:pt idx="20">
                  <c:v>312603.8</c:v>
                </c:pt>
                <c:pt idx="21">
                  <c:v>310541.09999999998</c:v>
                </c:pt>
                <c:pt idx="22">
                  <c:v>308495.90000000002</c:v>
                </c:pt>
                <c:pt idx="23">
                  <c:v>306616.90000000002</c:v>
                </c:pt>
                <c:pt idx="24">
                  <c:v>305206.7</c:v>
                </c:pt>
                <c:pt idx="25">
                  <c:v>303750.09999999998</c:v>
                </c:pt>
                <c:pt idx="26">
                  <c:v>302433.40000000002</c:v>
                </c:pt>
                <c:pt idx="27">
                  <c:v>301360.09999999998</c:v>
                </c:pt>
                <c:pt idx="28">
                  <c:v>301040.90000000002</c:v>
                </c:pt>
                <c:pt idx="29">
                  <c:v>301206.09999999998</c:v>
                </c:pt>
                <c:pt idx="30">
                  <c:v>301277.7</c:v>
                </c:pt>
                <c:pt idx="31">
                  <c:v>301352.2</c:v>
                </c:pt>
                <c:pt idx="32">
                  <c:v>301423.8</c:v>
                </c:pt>
                <c:pt idx="33">
                  <c:v>301488.3</c:v>
                </c:pt>
                <c:pt idx="34">
                  <c:v>301542.40000000002</c:v>
                </c:pt>
                <c:pt idx="35">
                  <c:v>301585.7</c:v>
                </c:pt>
                <c:pt idx="36">
                  <c:v>301618.59999999998</c:v>
                </c:pt>
                <c:pt idx="37">
                  <c:v>301641.2</c:v>
                </c:pt>
                <c:pt idx="38">
                  <c:v>301654.3</c:v>
                </c:pt>
                <c:pt idx="39">
                  <c:v>301659</c:v>
                </c:pt>
                <c:pt idx="40">
                  <c:v>301656.8</c:v>
                </c:pt>
                <c:pt idx="41">
                  <c:v>301648.8</c:v>
                </c:pt>
                <c:pt idx="42">
                  <c:v>301636.2</c:v>
                </c:pt>
                <c:pt idx="43">
                  <c:v>301619.8</c:v>
                </c:pt>
                <c:pt idx="44">
                  <c:v>301600.2</c:v>
                </c:pt>
                <c:pt idx="45">
                  <c:v>301578.09999999998</c:v>
                </c:pt>
                <c:pt idx="46">
                  <c:v>301554.3</c:v>
                </c:pt>
                <c:pt idx="47">
                  <c:v>301529.3</c:v>
                </c:pt>
                <c:pt idx="48">
                  <c:v>301503.90000000002</c:v>
                </c:pt>
                <c:pt idx="49">
                  <c:v>301478.8</c:v>
                </c:pt>
                <c:pt idx="50">
                  <c:v>301454.90000000002</c:v>
                </c:pt>
                <c:pt idx="51">
                  <c:v>301433.59999999998</c:v>
                </c:pt>
                <c:pt idx="52">
                  <c:v>301416.5</c:v>
                </c:pt>
                <c:pt idx="53">
                  <c:v>301406.40000000002</c:v>
                </c:pt>
                <c:pt idx="54">
                  <c:v>301407.5</c:v>
                </c:pt>
                <c:pt idx="55">
                  <c:v>301425.09999999998</c:v>
                </c:pt>
                <c:pt idx="56">
                  <c:v>301462.7</c:v>
                </c:pt>
                <c:pt idx="57">
                  <c:v>301519.5</c:v>
                </c:pt>
                <c:pt idx="58">
                  <c:v>301590.3</c:v>
                </c:pt>
                <c:pt idx="59">
                  <c:v>301668.5</c:v>
                </c:pt>
                <c:pt idx="60">
                  <c:v>301747</c:v>
                </c:pt>
                <c:pt idx="61">
                  <c:v>301820.3</c:v>
                </c:pt>
                <c:pt idx="62">
                  <c:v>301884</c:v>
                </c:pt>
                <c:pt idx="63">
                  <c:v>301935.2</c:v>
                </c:pt>
                <c:pt idx="64">
                  <c:v>301972.7</c:v>
                </c:pt>
                <c:pt idx="65">
                  <c:v>301996.59999999998</c:v>
                </c:pt>
                <c:pt idx="66">
                  <c:v>302007.8</c:v>
                </c:pt>
                <c:pt idx="67">
                  <c:v>302007.90000000002</c:v>
                </c:pt>
                <c:pt idx="68">
                  <c:v>301998.5</c:v>
                </c:pt>
                <c:pt idx="69">
                  <c:v>301981.2</c:v>
                </c:pt>
                <c:pt idx="70">
                  <c:v>301960.5</c:v>
                </c:pt>
                <c:pt idx="71">
                  <c:v>301934.09999999998</c:v>
                </c:pt>
                <c:pt idx="72">
                  <c:v>301903.40000000002</c:v>
                </c:pt>
                <c:pt idx="73">
                  <c:v>302247.90000000002</c:v>
                </c:pt>
                <c:pt idx="74">
                  <c:v>303200.8</c:v>
                </c:pt>
                <c:pt idx="75">
                  <c:v>304543.2</c:v>
                </c:pt>
                <c:pt idx="76">
                  <c:v>305789.59999999998</c:v>
                </c:pt>
                <c:pt idx="77">
                  <c:v>306769</c:v>
                </c:pt>
                <c:pt idx="78">
                  <c:v>307956.59999999998</c:v>
                </c:pt>
                <c:pt idx="79">
                  <c:v>309074.5</c:v>
                </c:pt>
                <c:pt idx="80">
                  <c:v>310037.09999999998</c:v>
                </c:pt>
                <c:pt idx="81">
                  <c:v>310976.8</c:v>
                </c:pt>
                <c:pt idx="82">
                  <c:v>312261.59999999998</c:v>
                </c:pt>
                <c:pt idx="83">
                  <c:v>313645.2</c:v>
                </c:pt>
                <c:pt idx="84">
                  <c:v>314819.7</c:v>
                </c:pt>
                <c:pt idx="85">
                  <c:v>315503.7</c:v>
                </c:pt>
                <c:pt idx="86">
                  <c:v>316116.3</c:v>
                </c:pt>
                <c:pt idx="87">
                  <c:v>316661.7</c:v>
                </c:pt>
                <c:pt idx="88">
                  <c:v>316866.5</c:v>
                </c:pt>
                <c:pt idx="89">
                  <c:v>316415.90000000002</c:v>
                </c:pt>
                <c:pt idx="90">
                  <c:v>315587.59999999998</c:v>
                </c:pt>
                <c:pt idx="91">
                  <c:v>314013</c:v>
                </c:pt>
                <c:pt idx="92">
                  <c:v>311984.90000000002</c:v>
                </c:pt>
                <c:pt idx="93">
                  <c:v>309753.90000000002</c:v>
                </c:pt>
                <c:pt idx="94">
                  <c:v>307550.59999999998</c:v>
                </c:pt>
                <c:pt idx="95">
                  <c:v>305564.40000000002</c:v>
                </c:pt>
                <c:pt idx="96">
                  <c:v>304091.2</c:v>
                </c:pt>
                <c:pt idx="97">
                  <c:v>302570.2</c:v>
                </c:pt>
                <c:pt idx="98">
                  <c:v>301184.2</c:v>
                </c:pt>
                <c:pt idx="99">
                  <c:v>300057.90000000002</c:v>
                </c:pt>
                <c:pt idx="100">
                  <c:v>299709</c:v>
                </c:pt>
                <c:pt idx="101">
                  <c:v>299842.90000000002</c:v>
                </c:pt>
                <c:pt idx="102">
                  <c:v>299880.90000000002</c:v>
                </c:pt>
                <c:pt idx="103">
                  <c:v>299919.2</c:v>
                </c:pt>
                <c:pt idx="104">
                  <c:v>299952</c:v>
                </c:pt>
                <c:pt idx="105">
                  <c:v>299975</c:v>
                </c:pt>
                <c:pt idx="106">
                  <c:v>299986.90000000002</c:v>
                </c:pt>
                <c:pt idx="107">
                  <c:v>299988.5</c:v>
                </c:pt>
                <c:pt idx="108">
                  <c:v>299980.5</c:v>
                </c:pt>
                <c:pt idx="109">
                  <c:v>299963.7</c:v>
                </c:pt>
                <c:pt idx="110">
                  <c:v>299939.59999999998</c:v>
                </c:pt>
                <c:pt idx="111">
                  <c:v>299909.8</c:v>
                </c:pt>
                <c:pt idx="112">
                  <c:v>299875.8</c:v>
                </c:pt>
                <c:pt idx="113">
                  <c:v>299838.8</c:v>
                </c:pt>
                <c:pt idx="114">
                  <c:v>299799.40000000002</c:v>
                </c:pt>
                <c:pt idx="115">
                  <c:v>299758.3</c:v>
                </c:pt>
                <c:pt idx="116">
                  <c:v>299716.2</c:v>
                </c:pt>
                <c:pt idx="117">
                  <c:v>299673.2</c:v>
                </c:pt>
                <c:pt idx="118">
                  <c:v>299629.90000000002</c:v>
                </c:pt>
                <c:pt idx="119">
                  <c:v>299586.2</c:v>
                </c:pt>
                <c:pt idx="120">
                  <c:v>299542.2</c:v>
                </c:pt>
                <c:pt idx="121">
                  <c:v>299497.40000000002</c:v>
                </c:pt>
                <c:pt idx="122">
                  <c:v>299451.3</c:v>
                </c:pt>
                <c:pt idx="123">
                  <c:v>299403.2</c:v>
                </c:pt>
                <c:pt idx="124">
                  <c:v>299352.59999999998</c:v>
                </c:pt>
                <c:pt idx="125">
                  <c:v>299299.5</c:v>
                </c:pt>
                <c:pt idx="126">
                  <c:v>299243.7</c:v>
                </c:pt>
                <c:pt idx="127">
                  <c:v>299184.8</c:v>
                </c:pt>
                <c:pt idx="128">
                  <c:v>299121.59999999998</c:v>
                </c:pt>
                <c:pt idx="129">
                  <c:v>299051.09999999998</c:v>
                </c:pt>
                <c:pt idx="130">
                  <c:v>298969.09999999998</c:v>
                </c:pt>
                <c:pt idx="131">
                  <c:v>298870.90000000002</c:v>
                </c:pt>
                <c:pt idx="132">
                  <c:v>298754.2</c:v>
                </c:pt>
                <c:pt idx="133">
                  <c:v>298619.90000000002</c:v>
                </c:pt>
                <c:pt idx="134">
                  <c:v>298471.2</c:v>
                </c:pt>
                <c:pt idx="135">
                  <c:v>298312.40000000002</c:v>
                </c:pt>
                <c:pt idx="136">
                  <c:v>298149.59999999998</c:v>
                </c:pt>
                <c:pt idx="137">
                  <c:v>297994</c:v>
                </c:pt>
                <c:pt idx="138">
                  <c:v>297856</c:v>
                </c:pt>
                <c:pt idx="139">
                  <c:v>297736</c:v>
                </c:pt>
                <c:pt idx="140">
                  <c:v>297628.3</c:v>
                </c:pt>
                <c:pt idx="141">
                  <c:v>297532.7</c:v>
                </c:pt>
                <c:pt idx="142">
                  <c:v>297448.5</c:v>
                </c:pt>
                <c:pt idx="143">
                  <c:v>297380.90000000002</c:v>
                </c:pt>
                <c:pt idx="144">
                  <c:v>297318.90000000002</c:v>
                </c:pt>
                <c:pt idx="145">
                  <c:v>297632.2</c:v>
                </c:pt>
                <c:pt idx="146">
                  <c:v>298589</c:v>
                </c:pt>
                <c:pt idx="147">
                  <c:v>299984</c:v>
                </c:pt>
                <c:pt idx="148">
                  <c:v>301360.40000000002</c:v>
                </c:pt>
                <c:pt idx="149">
                  <c:v>302560</c:v>
                </c:pt>
                <c:pt idx="150">
                  <c:v>304009.90000000002</c:v>
                </c:pt>
                <c:pt idx="151">
                  <c:v>305365</c:v>
                </c:pt>
                <c:pt idx="152">
                  <c:v>306489</c:v>
                </c:pt>
                <c:pt idx="153">
                  <c:v>307578.90000000002</c:v>
                </c:pt>
                <c:pt idx="154">
                  <c:v>309048.59999999998</c:v>
                </c:pt>
                <c:pt idx="155">
                  <c:v>310634.09999999998</c:v>
                </c:pt>
                <c:pt idx="156">
                  <c:v>312020.8</c:v>
                </c:pt>
                <c:pt idx="157">
                  <c:v>312910.09999999998</c:v>
                </c:pt>
                <c:pt idx="158">
                  <c:v>313700.8</c:v>
                </c:pt>
                <c:pt idx="159">
                  <c:v>314403.90000000002</c:v>
                </c:pt>
                <c:pt idx="160">
                  <c:v>314783.8</c:v>
                </c:pt>
                <c:pt idx="161">
                  <c:v>314556</c:v>
                </c:pt>
                <c:pt idx="162">
                  <c:v>313936.59999999998</c:v>
                </c:pt>
                <c:pt idx="163">
                  <c:v>312480.2</c:v>
                </c:pt>
                <c:pt idx="164">
                  <c:v>310546.8</c:v>
                </c:pt>
                <c:pt idx="165">
                  <c:v>308457.3</c:v>
                </c:pt>
                <c:pt idx="166">
                  <c:v>306406.3</c:v>
                </c:pt>
                <c:pt idx="167">
                  <c:v>304511</c:v>
                </c:pt>
                <c:pt idx="168">
                  <c:v>303062.3</c:v>
                </c:pt>
                <c:pt idx="169">
                  <c:v>301541.3</c:v>
                </c:pt>
                <c:pt idx="170">
                  <c:v>300151.5</c:v>
                </c:pt>
                <c:pt idx="171">
                  <c:v>299013.40000000002</c:v>
                </c:pt>
                <c:pt idx="172">
                  <c:v>298644.5</c:v>
                </c:pt>
                <c:pt idx="173">
                  <c:v>298768.8</c:v>
                </c:pt>
                <c:pt idx="174">
                  <c:v>298803.3</c:v>
                </c:pt>
                <c:pt idx="175">
                  <c:v>298843.7</c:v>
                </c:pt>
                <c:pt idx="176">
                  <c:v>298884</c:v>
                </c:pt>
                <c:pt idx="177">
                  <c:v>298919.90000000002</c:v>
                </c:pt>
                <c:pt idx="178">
                  <c:v>298949.90000000002</c:v>
                </c:pt>
                <c:pt idx="179">
                  <c:v>298973.8</c:v>
                </c:pt>
                <c:pt idx="180">
                  <c:v>298991.5</c:v>
                </c:pt>
                <c:pt idx="181">
                  <c:v>299003</c:v>
                </c:pt>
                <c:pt idx="182">
                  <c:v>299008.5</c:v>
                </c:pt>
                <c:pt idx="183">
                  <c:v>299008.8</c:v>
                </c:pt>
                <c:pt idx="184">
                  <c:v>299004.7</c:v>
                </c:pt>
                <c:pt idx="185">
                  <c:v>298996.8</c:v>
                </c:pt>
                <c:pt idx="186">
                  <c:v>298985.7</c:v>
                </c:pt>
                <c:pt idx="187">
                  <c:v>298971.8</c:v>
                </c:pt>
                <c:pt idx="188">
                  <c:v>298955.3</c:v>
                </c:pt>
                <c:pt idx="189">
                  <c:v>298936.90000000002</c:v>
                </c:pt>
                <c:pt idx="190">
                  <c:v>298916.90000000002</c:v>
                </c:pt>
                <c:pt idx="191">
                  <c:v>298895.90000000002</c:v>
                </c:pt>
                <c:pt idx="192">
                  <c:v>298874.3</c:v>
                </c:pt>
                <c:pt idx="193">
                  <c:v>298852.59999999998</c:v>
                </c:pt>
                <c:pt idx="194">
                  <c:v>298830.90000000002</c:v>
                </c:pt>
                <c:pt idx="195">
                  <c:v>298809.59999999998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EBA-4372-A091-21E8DA4564FA}"/>
            </c:ext>
          </c:extLst>
        </c:ser>
        <c:ser>
          <c:idx val="2"/>
          <c:order val="2"/>
          <c:tx>
            <c:strRef>
              <c:f>variable_inlet!$I$1</c:f>
              <c:strCache>
                <c:ptCount val="1"/>
                <c:pt idx="0">
                  <c:v>2 kierownice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variable_inlet!$P$5:$P$200</c:f>
              <c:numCache>
                <c:formatCode>General</c:formatCode>
                <c:ptCount val="196"/>
                <c:pt idx="0">
                  <c:v>0</c:v>
                </c:pt>
                <c:pt idx="1">
                  <c:v>2.7779999999999998E-4</c:v>
                </c:pt>
                <c:pt idx="2">
                  <c:v>5.5559999999999995E-4</c:v>
                </c:pt>
                <c:pt idx="3">
                  <c:v>8.3339989999999995E-4</c:v>
                </c:pt>
                <c:pt idx="4">
                  <c:v>1.1111999999999999E-3</c:v>
                </c:pt>
                <c:pt idx="5">
                  <c:v>1.389E-3</c:v>
                </c:pt>
                <c:pt idx="6">
                  <c:v>1.6668E-3</c:v>
                </c:pt>
                <c:pt idx="7">
                  <c:v>1.9446000000000001E-3</c:v>
                </c:pt>
                <c:pt idx="8">
                  <c:v>2.2223999999999998E-3</c:v>
                </c:pt>
                <c:pt idx="9">
                  <c:v>2.5002000000000002E-3</c:v>
                </c:pt>
                <c:pt idx="10">
                  <c:v>2.7780000000000001E-3</c:v>
                </c:pt>
                <c:pt idx="11">
                  <c:v>3.0558E-3</c:v>
                </c:pt>
                <c:pt idx="12">
                  <c:v>3.3335999999999999E-3</c:v>
                </c:pt>
                <c:pt idx="13">
                  <c:v>3.6113999999999999E-3</c:v>
                </c:pt>
                <c:pt idx="14">
                  <c:v>3.8892000000000002E-3</c:v>
                </c:pt>
                <c:pt idx="15">
                  <c:v>4.1669999999999997E-3</c:v>
                </c:pt>
                <c:pt idx="16">
                  <c:v>4.4447999999999996E-3</c:v>
                </c:pt>
                <c:pt idx="17">
                  <c:v>4.7226000000000004E-3</c:v>
                </c:pt>
                <c:pt idx="18">
                  <c:v>5.0004000000000003E-3</c:v>
                </c:pt>
                <c:pt idx="19">
                  <c:v>5.2782000000000003E-3</c:v>
                </c:pt>
                <c:pt idx="20">
                  <c:v>5.5560000000000002E-3</c:v>
                </c:pt>
                <c:pt idx="21">
                  <c:v>5.8338000000000001E-3</c:v>
                </c:pt>
                <c:pt idx="22">
                  <c:v>6.1116E-3</c:v>
                </c:pt>
                <c:pt idx="23">
                  <c:v>6.3893999999999999E-3</c:v>
                </c:pt>
                <c:pt idx="24">
                  <c:v>6.6671999999999999E-3</c:v>
                </c:pt>
                <c:pt idx="25">
                  <c:v>6.9449999999999998E-3</c:v>
                </c:pt>
                <c:pt idx="26">
                  <c:v>7.2227999999999997E-3</c:v>
                </c:pt>
                <c:pt idx="27">
                  <c:v>7.5005999999999996E-3</c:v>
                </c:pt>
                <c:pt idx="28">
                  <c:v>7.7784000000000004E-3</c:v>
                </c:pt>
                <c:pt idx="29">
                  <c:v>8.0561999999999995E-3</c:v>
                </c:pt>
                <c:pt idx="30">
                  <c:v>8.3339999999999994E-3</c:v>
                </c:pt>
                <c:pt idx="31">
                  <c:v>8.6117999999999993E-3</c:v>
                </c:pt>
                <c:pt idx="32">
                  <c:v>8.8895999999999992E-3</c:v>
                </c:pt>
                <c:pt idx="33">
                  <c:v>9.1673989999999997E-3</c:v>
                </c:pt>
                <c:pt idx="34">
                  <c:v>9.4452000000000008E-3</c:v>
                </c:pt>
                <c:pt idx="35">
                  <c:v>9.7229989999999995E-3</c:v>
                </c:pt>
                <c:pt idx="36">
                  <c:v>1.0000800000000001E-2</c:v>
                </c:pt>
                <c:pt idx="37">
                  <c:v>1.0278600000000001E-2</c:v>
                </c:pt>
                <c:pt idx="38">
                  <c:v>1.0556400000000001E-2</c:v>
                </c:pt>
                <c:pt idx="39">
                  <c:v>1.08342E-2</c:v>
                </c:pt>
                <c:pt idx="40">
                  <c:v>1.1112E-2</c:v>
                </c:pt>
                <c:pt idx="41">
                  <c:v>1.13898E-2</c:v>
                </c:pt>
                <c:pt idx="42">
                  <c:v>1.16676E-2</c:v>
                </c:pt>
                <c:pt idx="43">
                  <c:v>1.19454E-2</c:v>
                </c:pt>
                <c:pt idx="44">
                  <c:v>1.22232E-2</c:v>
                </c:pt>
                <c:pt idx="45">
                  <c:v>1.2501E-2</c:v>
                </c:pt>
                <c:pt idx="46">
                  <c:v>1.27788E-2</c:v>
                </c:pt>
                <c:pt idx="47">
                  <c:v>1.30566E-2</c:v>
                </c:pt>
                <c:pt idx="48">
                  <c:v>1.33344E-2</c:v>
                </c:pt>
                <c:pt idx="49">
                  <c:v>1.36122E-2</c:v>
                </c:pt>
                <c:pt idx="50">
                  <c:v>1.389E-2</c:v>
                </c:pt>
                <c:pt idx="51">
                  <c:v>1.4167799999999999E-2</c:v>
                </c:pt>
                <c:pt idx="52">
                  <c:v>1.4445599999999999E-2</c:v>
                </c:pt>
                <c:pt idx="53">
                  <c:v>1.4723399999999999E-2</c:v>
                </c:pt>
                <c:pt idx="54">
                  <c:v>1.5001199999999999E-2</c:v>
                </c:pt>
                <c:pt idx="55">
                  <c:v>1.5278999999999999E-2</c:v>
                </c:pt>
                <c:pt idx="56">
                  <c:v>1.5556800000000001E-2</c:v>
                </c:pt>
                <c:pt idx="57">
                  <c:v>1.5834600000000001E-2</c:v>
                </c:pt>
                <c:pt idx="58">
                  <c:v>1.6112399999999999E-2</c:v>
                </c:pt>
                <c:pt idx="59">
                  <c:v>1.6390200000000001E-2</c:v>
                </c:pt>
                <c:pt idx="60">
                  <c:v>1.6667999999999999E-2</c:v>
                </c:pt>
                <c:pt idx="61">
                  <c:v>1.69458E-2</c:v>
                </c:pt>
                <c:pt idx="62">
                  <c:v>1.7223599999999999E-2</c:v>
                </c:pt>
                <c:pt idx="63">
                  <c:v>1.75014E-2</c:v>
                </c:pt>
                <c:pt idx="64">
                  <c:v>1.7779199999999998E-2</c:v>
                </c:pt>
                <c:pt idx="65">
                  <c:v>1.8057E-2</c:v>
                </c:pt>
                <c:pt idx="66">
                  <c:v>1.8334799999999998E-2</c:v>
                </c:pt>
                <c:pt idx="67">
                  <c:v>1.86126E-2</c:v>
                </c:pt>
                <c:pt idx="68">
                  <c:v>1.8890400000000002E-2</c:v>
                </c:pt>
                <c:pt idx="69">
                  <c:v>1.91682E-2</c:v>
                </c:pt>
                <c:pt idx="70">
                  <c:v>1.9446000000000001E-2</c:v>
                </c:pt>
                <c:pt idx="71">
                  <c:v>1.97238E-2</c:v>
                </c:pt>
                <c:pt idx="72">
                  <c:v>2.0001600000000001E-2</c:v>
                </c:pt>
                <c:pt idx="73">
                  <c:v>2.02794E-2</c:v>
                </c:pt>
                <c:pt idx="74">
                  <c:v>2.0557200000000001E-2</c:v>
                </c:pt>
                <c:pt idx="75">
                  <c:v>2.0834999999999999E-2</c:v>
                </c:pt>
                <c:pt idx="76">
                  <c:v>2.1112800000000001E-2</c:v>
                </c:pt>
                <c:pt idx="77">
                  <c:v>2.1390599999999999E-2</c:v>
                </c:pt>
                <c:pt idx="78">
                  <c:v>2.1668400000000001E-2</c:v>
                </c:pt>
                <c:pt idx="79">
                  <c:v>2.1946199999999999E-2</c:v>
                </c:pt>
                <c:pt idx="80">
                  <c:v>2.2224000000000001E-2</c:v>
                </c:pt>
                <c:pt idx="81">
                  <c:v>2.2501799999999999E-2</c:v>
                </c:pt>
                <c:pt idx="82">
                  <c:v>2.2779600000000001E-2</c:v>
                </c:pt>
                <c:pt idx="83">
                  <c:v>2.3057399999999999E-2</c:v>
                </c:pt>
                <c:pt idx="84">
                  <c:v>2.33352E-2</c:v>
                </c:pt>
                <c:pt idx="85">
                  <c:v>2.3612999999999999E-2</c:v>
                </c:pt>
                <c:pt idx="86">
                  <c:v>2.38908E-2</c:v>
                </c:pt>
                <c:pt idx="87">
                  <c:v>2.4168599999999998E-2</c:v>
                </c:pt>
                <c:pt idx="88">
                  <c:v>2.44464E-2</c:v>
                </c:pt>
                <c:pt idx="89">
                  <c:v>2.4724200000000002E-2</c:v>
                </c:pt>
                <c:pt idx="90">
                  <c:v>2.5002E-2</c:v>
                </c:pt>
                <c:pt idx="91">
                  <c:v>2.5279800000000002E-2</c:v>
                </c:pt>
                <c:pt idx="92">
                  <c:v>2.55576E-2</c:v>
                </c:pt>
                <c:pt idx="93">
                  <c:v>2.5835400000000001E-2</c:v>
                </c:pt>
                <c:pt idx="94">
                  <c:v>2.61132E-2</c:v>
                </c:pt>
                <c:pt idx="95">
                  <c:v>2.6391000000000001E-2</c:v>
                </c:pt>
                <c:pt idx="96">
                  <c:v>2.6668799999999999E-2</c:v>
                </c:pt>
                <c:pt idx="97">
                  <c:v>2.6946600000000001E-2</c:v>
                </c:pt>
                <c:pt idx="98">
                  <c:v>2.7224399999999999E-2</c:v>
                </c:pt>
                <c:pt idx="99">
                  <c:v>2.7502200000000001E-2</c:v>
                </c:pt>
                <c:pt idx="100">
                  <c:v>2.7779999999999999E-2</c:v>
                </c:pt>
                <c:pt idx="101">
                  <c:v>2.8057800000000001E-2</c:v>
                </c:pt>
                <c:pt idx="102">
                  <c:v>2.8335599999999999E-2</c:v>
                </c:pt>
                <c:pt idx="103">
                  <c:v>2.8613400000000001E-2</c:v>
                </c:pt>
                <c:pt idx="104">
                  <c:v>2.8891199999999999E-2</c:v>
                </c:pt>
                <c:pt idx="105">
                  <c:v>2.9169E-2</c:v>
                </c:pt>
                <c:pt idx="106">
                  <c:v>2.9446799999999999E-2</c:v>
                </c:pt>
                <c:pt idx="107">
                  <c:v>2.97246E-2</c:v>
                </c:pt>
                <c:pt idx="108">
                  <c:v>3.0002399999999999E-2</c:v>
                </c:pt>
                <c:pt idx="109">
                  <c:v>3.02802E-2</c:v>
                </c:pt>
                <c:pt idx="110">
                  <c:v>3.0557999999999998E-2</c:v>
                </c:pt>
                <c:pt idx="111">
                  <c:v>3.08358E-2</c:v>
                </c:pt>
                <c:pt idx="112">
                  <c:v>3.1113600000000002E-2</c:v>
                </c:pt>
                <c:pt idx="113">
                  <c:v>3.13914E-2</c:v>
                </c:pt>
                <c:pt idx="114">
                  <c:v>3.1669200000000002E-2</c:v>
                </c:pt>
                <c:pt idx="115">
                  <c:v>3.1947000000000003E-2</c:v>
                </c:pt>
                <c:pt idx="116">
                  <c:v>3.2224799999999998E-2</c:v>
                </c:pt>
                <c:pt idx="117">
                  <c:v>3.25026E-2</c:v>
                </c:pt>
                <c:pt idx="118">
                  <c:v>3.2780400000000001E-2</c:v>
                </c:pt>
                <c:pt idx="119">
                  <c:v>3.3058200000000003E-2</c:v>
                </c:pt>
                <c:pt idx="120">
                  <c:v>3.3335999999999998E-2</c:v>
                </c:pt>
                <c:pt idx="121">
                  <c:v>3.3613799999999999E-2</c:v>
                </c:pt>
                <c:pt idx="122">
                  <c:v>3.3891600000000001E-2</c:v>
                </c:pt>
                <c:pt idx="123">
                  <c:v>3.4169400000000003E-2</c:v>
                </c:pt>
                <c:pt idx="124">
                  <c:v>3.4447199999999997E-2</c:v>
                </c:pt>
                <c:pt idx="125">
                  <c:v>3.4724999999999999E-2</c:v>
                </c:pt>
                <c:pt idx="126">
                  <c:v>3.5002800000000001E-2</c:v>
                </c:pt>
                <c:pt idx="127">
                  <c:v>3.5280600000000002E-2</c:v>
                </c:pt>
                <c:pt idx="128">
                  <c:v>3.5558399999999997E-2</c:v>
                </c:pt>
                <c:pt idx="129">
                  <c:v>3.5836199999999999E-2</c:v>
                </c:pt>
                <c:pt idx="130">
                  <c:v>3.6114E-2</c:v>
                </c:pt>
                <c:pt idx="131">
                  <c:v>3.6391800000000002E-2</c:v>
                </c:pt>
                <c:pt idx="132">
                  <c:v>3.6669599999999997E-2</c:v>
                </c:pt>
                <c:pt idx="133">
                  <c:v>3.6947399999999998E-2</c:v>
                </c:pt>
                <c:pt idx="134">
                  <c:v>3.72252E-2</c:v>
                </c:pt>
                <c:pt idx="135">
                  <c:v>3.7503000000000002E-2</c:v>
                </c:pt>
                <c:pt idx="136">
                  <c:v>3.7780800000000003E-2</c:v>
                </c:pt>
                <c:pt idx="137">
                  <c:v>3.8058599999999998E-2</c:v>
                </c:pt>
                <c:pt idx="138">
                  <c:v>3.83364E-2</c:v>
                </c:pt>
                <c:pt idx="139">
                  <c:v>3.8614200000000001E-2</c:v>
                </c:pt>
                <c:pt idx="140">
                  <c:v>3.8892000000000003E-2</c:v>
                </c:pt>
                <c:pt idx="141">
                  <c:v>3.9169799999999998E-2</c:v>
                </c:pt>
                <c:pt idx="142">
                  <c:v>3.9447599999999999E-2</c:v>
                </c:pt>
                <c:pt idx="143">
                  <c:v>3.9725400000000001E-2</c:v>
                </c:pt>
                <c:pt idx="144">
                  <c:v>4.0003200000000003E-2</c:v>
                </c:pt>
                <c:pt idx="145">
                  <c:v>4.0280999999999997E-2</c:v>
                </c:pt>
                <c:pt idx="146">
                  <c:v>4.0558799999999999E-2</c:v>
                </c:pt>
                <c:pt idx="147">
                  <c:v>4.0836600000000001E-2</c:v>
                </c:pt>
                <c:pt idx="148">
                  <c:v>4.1114400000000002E-2</c:v>
                </c:pt>
                <c:pt idx="149">
                  <c:v>4.1392199999999997E-2</c:v>
                </c:pt>
                <c:pt idx="150">
                  <c:v>4.1669999999999999E-2</c:v>
                </c:pt>
                <c:pt idx="151">
                  <c:v>4.19478E-2</c:v>
                </c:pt>
                <c:pt idx="152">
                  <c:v>4.2225600000000002E-2</c:v>
                </c:pt>
                <c:pt idx="153">
                  <c:v>4.2503399999999997E-2</c:v>
                </c:pt>
                <c:pt idx="154">
                  <c:v>4.2781199999999998E-2</c:v>
                </c:pt>
                <c:pt idx="155">
                  <c:v>4.3059E-2</c:v>
                </c:pt>
                <c:pt idx="156">
                  <c:v>4.3336800000000002E-2</c:v>
                </c:pt>
                <c:pt idx="157">
                  <c:v>4.3614600000000003E-2</c:v>
                </c:pt>
                <c:pt idx="158">
                  <c:v>4.3892399999999998E-2</c:v>
                </c:pt>
                <c:pt idx="159">
                  <c:v>4.41702E-2</c:v>
                </c:pt>
                <c:pt idx="160">
                  <c:v>4.4448000000000001E-2</c:v>
                </c:pt>
                <c:pt idx="161">
                  <c:v>4.4725800000000003E-2</c:v>
                </c:pt>
                <c:pt idx="162">
                  <c:v>4.5003599999999998E-2</c:v>
                </c:pt>
                <c:pt idx="163">
                  <c:v>4.5281399999999999E-2</c:v>
                </c:pt>
                <c:pt idx="164">
                  <c:v>4.5559200000000001E-2</c:v>
                </c:pt>
                <c:pt idx="165">
                  <c:v>4.5837000000000003E-2</c:v>
                </c:pt>
                <c:pt idx="166">
                  <c:v>4.6114799999999997E-2</c:v>
                </c:pt>
                <c:pt idx="167">
                  <c:v>4.6392599999999999E-2</c:v>
                </c:pt>
                <c:pt idx="168">
                  <c:v>4.6670400000000001E-2</c:v>
                </c:pt>
                <c:pt idx="169">
                  <c:v>4.6948200000000002E-2</c:v>
                </c:pt>
                <c:pt idx="170">
                  <c:v>4.7225999999999997E-2</c:v>
                </c:pt>
                <c:pt idx="171">
                  <c:v>4.7503799999999999E-2</c:v>
                </c:pt>
                <c:pt idx="172">
                  <c:v>4.77816E-2</c:v>
                </c:pt>
                <c:pt idx="173">
                  <c:v>4.8059400000000002E-2</c:v>
                </c:pt>
                <c:pt idx="174">
                  <c:v>4.8337199999999997E-2</c:v>
                </c:pt>
                <c:pt idx="175">
                  <c:v>4.8614999999999998E-2</c:v>
                </c:pt>
                <c:pt idx="176">
                  <c:v>4.88928E-2</c:v>
                </c:pt>
                <c:pt idx="177">
                  <c:v>4.9170600000000002E-2</c:v>
                </c:pt>
                <c:pt idx="178">
                  <c:v>4.9448400000000003E-2</c:v>
                </c:pt>
                <c:pt idx="179">
                  <c:v>4.9726199999999998E-2</c:v>
                </c:pt>
                <c:pt idx="180">
                  <c:v>5.0004E-2</c:v>
                </c:pt>
                <c:pt idx="181">
                  <c:v>5.0281800000000001E-2</c:v>
                </c:pt>
                <c:pt idx="182">
                  <c:v>5.0559600000000003E-2</c:v>
                </c:pt>
                <c:pt idx="183">
                  <c:v>5.0837399999999998E-2</c:v>
                </c:pt>
                <c:pt idx="184">
                  <c:v>5.11152E-2</c:v>
                </c:pt>
                <c:pt idx="185">
                  <c:v>5.1393000000000001E-2</c:v>
                </c:pt>
                <c:pt idx="186">
                  <c:v>5.1670800000000003E-2</c:v>
                </c:pt>
                <c:pt idx="187">
                  <c:v>5.1948599999999998E-2</c:v>
                </c:pt>
                <c:pt idx="188">
                  <c:v>5.2226399999999999E-2</c:v>
                </c:pt>
                <c:pt idx="189">
                  <c:v>5.2504200000000001E-2</c:v>
                </c:pt>
                <c:pt idx="190">
                  <c:v>5.2782000000000003E-2</c:v>
                </c:pt>
                <c:pt idx="191">
                  <c:v>5.3059799999999997E-2</c:v>
                </c:pt>
                <c:pt idx="192">
                  <c:v>5.3337599999999999E-2</c:v>
                </c:pt>
                <c:pt idx="193">
                  <c:v>5.3615400000000001E-2</c:v>
                </c:pt>
                <c:pt idx="194">
                  <c:v>5.3893200000000002E-2</c:v>
                </c:pt>
                <c:pt idx="195">
                  <c:v>5.4170999999999997E-2</c:v>
                </c:pt>
              </c:numCache>
            </c:numRef>
          </c:xVal>
          <c:yVal>
            <c:numRef>
              <c:f>variable_inlet!$K$5:$K$200</c:f>
              <c:numCache>
                <c:formatCode>General</c:formatCode>
                <c:ptCount val="196"/>
                <c:pt idx="0">
                  <c:v>299999.7</c:v>
                </c:pt>
                <c:pt idx="1">
                  <c:v>299999.7</c:v>
                </c:pt>
                <c:pt idx="2">
                  <c:v>300455.90000000002</c:v>
                </c:pt>
                <c:pt idx="3">
                  <c:v>301580.59999999998</c:v>
                </c:pt>
                <c:pt idx="4">
                  <c:v>303125.8</c:v>
                </c:pt>
                <c:pt idx="5">
                  <c:v>304591.7</c:v>
                </c:pt>
                <c:pt idx="6">
                  <c:v>305788.90000000002</c:v>
                </c:pt>
                <c:pt idx="7">
                  <c:v>307166.40000000002</c:v>
                </c:pt>
                <c:pt idx="8">
                  <c:v>309540.8</c:v>
                </c:pt>
                <c:pt idx="9">
                  <c:v>310401</c:v>
                </c:pt>
                <c:pt idx="10">
                  <c:v>311830.40000000002</c:v>
                </c:pt>
                <c:pt idx="11">
                  <c:v>313356.79999999999</c:v>
                </c:pt>
                <c:pt idx="12">
                  <c:v>314682.2</c:v>
                </c:pt>
                <c:pt idx="13">
                  <c:v>315541.90000000002</c:v>
                </c:pt>
                <c:pt idx="14">
                  <c:v>316357.2</c:v>
                </c:pt>
                <c:pt idx="15">
                  <c:v>317145.90000000002</c:v>
                </c:pt>
                <c:pt idx="16">
                  <c:v>317656.90000000002</c:v>
                </c:pt>
                <c:pt idx="17">
                  <c:v>317542.3</c:v>
                </c:pt>
                <c:pt idx="18">
                  <c:v>316987.2</c:v>
                </c:pt>
                <c:pt idx="19">
                  <c:v>315533.2</c:v>
                </c:pt>
                <c:pt idx="20">
                  <c:v>313567.8</c:v>
                </c:pt>
                <c:pt idx="21">
                  <c:v>311392.40000000002</c:v>
                </c:pt>
                <c:pt idx="22">
                  <c:v>309230</c:v>
                </c:pt>
                <c:pt idx="23">
                  <c:v>307240.8</c:v>
                </c:pt>
                <c:pt idx="24">
                  <c:v>305748.3</c:v>
                </c:pt>
                <c:pt idx="25">
                  <c:v>304212.8</c:v>
                </c:pt>
                <c:pt idx="26">
                  <c:v>302806.40000000002</c:v>
                </c:pt>
                <c:pt idx="27">
                  <c:v>301622</c:v>
                </c:pt>
                <c:pt idx="28">
                  <c:v>301253.09999999998</c:v>
                </c:pt>
                <c:pt idx="29">
                  <c:v>301401.3</c:v>
                </c:pt>
                <c:pt idx="30">
                  <c:v>301435.3</c:v>
                </c:pt>
                <c:pt idx="31">
                  <c:v>301472.8</c:v>
                </c:pt>
                <c:pt idx="32">
                  <c:v>301510.7</c:v>
                </c:pt>
                <c:pt idx="33">
                  <c:v>301541.3</c:v>
                </c:pt>
                <c:pt idx="34">
                  <c:v>301559.90000000002</c:v>
                </c:pt>
                <c:pt idx="35">
                  <c:v>301566.40000000002</c:v>
                </c:pt>
                <c:pt idx="36">
                  <c:v>301563.3</c:v>
                </c:pt>
                <c:pt idx="37">
                  <c:v>301553.90000000002</c:v>
                </c:pt>
                <c:pt idx="38">
                  <c:v>301541.7</c:v>
                </c:pt>
                <c:pt idx="39">
                  <c:v>301529.8</c:v>
                </c:pt>
                <c:pt idx="40">
                  <c:v>301521.09999999998</c:v>
                </c:pt>
                <c:pt idx="41">
                  <c:v>301517.2</c:v>
                </c:pt>
                <c:pt idx="42">
                  <c:v>301519.3</c:v>
                </c:pt>
                <c:pt idx="43">
                  <c:v>301526.8</c:v>
                </c:pt>
                <c:pt idx="44">
                  <c:v>301538.2</c:v>
                </c:pt>
                <c:pt idx="45">
                  <c:v>301551.59999999998</c:v>
                </c:pt>
                <c:pt idx="46">
                  <c:v>301564.2</c:v>
                </c:pt>
                <c:pt idx="47">
                  <c:v>301573.90000000002</c:v>
                </c:pt>
                <c:pt idx="48">
                  <c:v>301579.2</c:v>
                </c:pt>
                <c:pt idx="49">
                  <c:v>301578.90000000002</c:v>
                </c:pt>
                <c:pt idx="50">
                  <c:v>301572.8</c:v>
                </c:pt>
                <c:pt idx="51">
                  <c:v>301560.8</c:v>
                </c:pt>
                <c:pt idx="52">
                  <c:v>301543.7</c:v>
                </c:pt>
                <c:pt idx="53">
                  <c:v>301522</c:v>
                </c:pt>
                <c:pt idx="54">
                  <c:v>301496.7</c:v>
                </c:pt>
                <c:pt idx="55">
                  <c:v>301468.90000000002</c:v>
                </c:pt>
                <c:pt idx="56">
                  <c:v>301439.5</c:v>
                </c:pt>
                <c:pt idx="57">
                  <c:v>301409.5</c:v>
                </c:pt>
                <c:pt idx="58">
                  <c:v>301380</c:v>
                </c:pt>
                <c:pt idx="59">
                  <c:v>301351.8</c:v>
                </c:pt>
                <c:pt idx="60">
                  <c:v>301325.7</c:v>
                </c:pt>
                <c:pt idx="61">
                  <c:v>301302.09999999998</c:v>
                </c:pt>
                <c:pt idx="62">
                  <c:v>301281.8</c:v>
                </c:pt>
                <c:pt idx="63">
                  <c:v>301264.90000000002</c:v>
                </c:pt>
                <c:pt idx="64">
                  <c:v>301251.8</c:v>
                </c:pt>
                <c:pt idx="65">
                  <c:v>301242.8</c:v>
                </c:pt>
                <c:pt idx="66">
                  <c:v>301238.40000000002</c:v>
                </c:pt>
                <c:pt idx="67">
                  <c:v>301239.90000000002</c:v>
                </c:pt>
                <c:pt idx="68">
                  <c:v>301249.40000000002</c:v>
                </c:pt>
                <c:pt idx="69">
                  <c:v>301270.5</c:v>
                </c:pt>
                <c:pt idx="70">
                  <c:v>301311.7</c:v>
                </c:pt>
                <c:pt idx="71">
                  <c:v>301374.40000000002</c:v>
                </c:pt>
                <c:pt idx="72">
                  <c:v>301462.2</c:v>
                </c:pt>
                <c:pt idx="73">
                  <c:v>302049.40000000002</c:v>
                </c:pt>
                <c:pt idx="74">
                  <c:v>303344.59999999998</c:v>
                </c:pt>
                <c:pt idx="75">
                  <c:v>305056.59999999998</c:v>
                </c:pt>
                <c:pt idx="76">
                  <c:v>306629.5</c:v>
                </c:pt>
                <c:pt idx="77">
                  <c:v>307843.90000000002</c:v>
                </c:pt>
                <c:pt idx="78">
                  <c:v>309179.09999999998</c:v>
                </c:pt>
                <c:pt idx="79">
                  <c:v>310302.5</c:v>
                </c:pt>
                <c:pt idx="80">
                  <c:v>311134.8</c:v>
                </c:pt>
                <c:pt idx="81">
                  <c:v>311867.3</c:v>
                </c:pt>
                <c:pt idx="82">
                  <c:v>312936.5</c:v>
                </c:pt>
                <c:pt idx="83">
                  <c:v>314123.2</c:v>
                </c:pt>
                <c:pt idx="84">
                  <c:v>315133.8</c:v>
                </c:pt>
                <c:pt idx="85">
                  <c:v>315690</c:v>
                </c:pt>
                <c:pt idx="86">
                  <c:v>316238.2</c:v>
                </c:pt>
                <c:pt idx="87">
                  <c:v>316771.8</c:v>
                </c:pt>
                <c:pt idx="88">
                  <c:v>316988.2</c:v>
                </c:pt>
                <c:pt idx="89">
                  <c:v>316542</c:v>
                </c:pt>
                <c:pt idx="90">
                  <c:v>315711.59999999998</c:v>
                </c:pt>
                <c:pt idx="91">
                  <c:v>314089.7</c:v>
                </c:pt>
                <c:pt idx="92">
                  <c:v>311966.40000000002</c:v>
                </c:pt>
                <c:pt idx="93">
                  <c:v>309593.7</c:v>
                </c:pt>
                <c:pt idx="94">
                  <c:v>307217.7</c:v>
                </c:pt>
                <c:pt idx="95">
                  <c:v>305053.09999999998</c:v>
                </c:pt>
                <c:pt idx="96">
                  <c:v>303433.09999999998</c:v>
                </c:pt>
                <c:pt idx="97">
                  <c:v>301780.5</c:v>
                </c:pt>
                <c:pt idx="98">
                  <c:v>300270</c:v>
                </c:pt>
                <c:pt idx="99">
                  <c:v>299011.59999999998</c:v>
                </c:pt>
                <c:pt idx="100">
                  <c:v>298604</c:v>
                </c:pt>
                <c:pt idx="101">
                  <c:v>298717.2</c:v>
                </c:pt>
                <c:pt idx="102">
                  <c:v>298717</c:v>
                </c:pt>
                <c:pt idx="103">
                  <c:v>298723.40000000002</c:v>
                </c:pt>
                <c:pt idx="104">
                  <c:v>298731.59999999998</c:v>
                </c:pt>
                <c:pt idx="105">
                  <c:v>298732.5</c:v>
                </c:pt>
                <c:pt idx="106">
                  <c:v>298723.59999999998</c:v>
                </c:pt>
                <c:pt idx="107">
                  <c:v>298705.59999999998</c:v>
                </c:pt>
                <c:pt idx="108">
                  <c:v>298680.5</c:v>
                </c:pt>
                <c:pt idx="109">
                  <c:v>298650.7</c:v>
                </c:pt>
                <c:pt idx="110">
                  <c:v>298618.2</c:v>
                </c:pt>
                <c:pt idx="111">
                  <c:v>298584.8</c:v>
                </c:pt>
                <c:pt idx="112">
                  <c:v>298551.7</c:v>
                </c:pt>
                <c:pt idx="113">
                  <c:v>298519.5</c:v>
                </c:pt>
                <c:pt idx="114">
                  <c:v>298488.59999999998</c:v>
                </c:pt>
                <c:pt idx="115">
                  <c:v>298458.8</c:v>
                </c:pt>
                <c:pt idx="116">
                  <c:v>298430.09999999998</c:v>
                </c:pt>
                <c:pt idx="117">
                  <c:v>298402</c:v>
                </c:pt>
                <c:pt idx="118">
                  <c:v>298374.2</c:v>
                </c:pt>
                <c:pt idx="119">
                  <c:v>298346.3</c:v>
                </c:pt>
                <c:pt idx="120">
                  <c:v>298318.2</c:v>
                </c:pt>
                <c:pt idx="121">
                  <c:v>298289.3</c:v>
                </c:pt>
                <c:pt idx="122">
                  <c:v>298259.8</c:v>
                </c:pt>
                <c:pt idx="123">
                  <c:v>298229.40000000002</c:v>
                </c:pt>
                <c:pt idx="124">
                  <c:v>298198.5</c:v>
                </c:pt>
                <c:pt idx="125">
                  <c:v>298166.8</c:v>
                </c:pt>
                <c:pt idx="126">
                  <c:v>298134.7</c:v>
                </c:pt>
                <c:pt idx="127">
                  <c:v>298102.09999999998</c:v>
                </c:pt>
                <c:pt idx="128">
                  <c:v>298069.09999999998</c:v>
                </c:pt>
                <c:pt idx="129">
                  <c:v>298035.59999999998</c:v>
                </c:pt>
                <c:pt idx="130">
                  <c:v>298001.7</c:v>
                </c:pt>
                <c:pt idx="131">
                  <c:v>297967.2</c:v>
                </c:pt>
                <c:pt idx="132">
                  <c:v>297932.2</c:v>
                </c:pt>
                <c:pt idx="133">
                  <c:v>297896.2</c:v>
                </c:pt>
                <c:pt idx="134">
                  <c:v>297859.09999999998</c:v>
                </c:pt>
                <c:pt idx="135">
                  <c:v>297820.2</c:v>
                </c:pt>
                <c:pt idx="136">
                  <c:v>297779.20000000001</c:v>
                </c:pt>
                <c:pt idx="137">
                  <c:v>297735.7</c:v>
                </c:pt>
                <c:pt idx="138">
                  <c:v>297689.8</c:v>
                </c:pt>
                <c:pt idx="139">
                  <c:v>297642.2</c:v>
                </c:pt>
                <c:pt idx="140">
                  <c:v>297594.09999999998</c:v>
                </c:pt>
                <c:pt idx="141">
                  <c:v>297546.8</c:v>
                </c:pt>
                <c:pt idx="142">
                  <c:v>297501.7</c:v>
                </c:pt>
                <c:pt idx="143">
                  <c:v>297466.09999999998</c:v>
                </c:pt>
                <c:pt idx="144">
                  <c:v>297427</c:v>
                </c:pt>
                <c:pt idx="145">
                  <c:v>297826.90000000002</c:v>
                </c:pt>
                <c:pt idx="146">
                  <c:v>298897.59999999998</c:v>
                </c:pt>
                <c:pt idx="147">
                  <c:v>300410.59999999998</c:v>
                </c:pt>
                <c:pt idx="148">
                  <c:v>301876.3</c:v>
                </c:pt>
                <c:pt idx="149">
                  <c:v>303099.2</c:v>
                </c:pt>
                <c:pt idx="150">
                  <c:v>304539.2</c:v>
                </c:pt>
                <c:pt idx="151">
                  <c:v>305823.09999999998</c:v>
                </c:pt>
                <c:pt idx="152">
                  <c:v>306824.7</c:v>
                </c:pt>
                <c:pt idx="153">
                  <c:v>307768.5</c:v>
                </c:pt>
                <c:pt idx="154">
                  <c:v>309108.59999999998</c:v>
                </c:pt>
                <c:pt idx="155">
                  <c:v>310578.3</c:v>
                </c:pt>
                <c:pt idx="156">
                  <c:v>311858.5</c:v>
                </c:pt>
                <c:pt idx="157">
                  <c:v>312644.3</c:v>
                </c:pt>
                <c:pt idx="158">
                  <c:v>313363.3</c:v>
                </c:pt>
                <c:pt idx="159">
                  <c:v>314026.7</c:v>
                </c:pt>
                <c:pt idx="160">
                  <c:v>314387.7</c:v>
                </c:pt>
                <c:pt idx="161">
                  <c:v>314145.5</c:v>
                </c:pt>
                <c:pt idx="162">
                  <c:v>313521.7</c:v>
                </c:pt>
                <c:pt idx="163">
                  <c:v>312028.59999999998</c:v>
                </c:pt>
                <c:pt idx="164">
                  <c:v>310019.90000000002</c:v>
                </c:pt>
                <c:pt idx="165">
                  <c:v>307813.5</c:v>
                </c:pt>
                <c:pt idx="166">
                  <c:v>305618.90000000002</c:v>
                </c:pt>
                <c:pt idx="167">
                  <c:v>303585.3</c:v>
                </c:pt>
                <c:pt idx="168">
                  <c:v>302046.8</c:v>
                </c:pt>
                <c:pt idx="169">
                  <c:v>300463.90000000002</c:v>
                </c:pt>
                <c:pt idx="170">
                  <c:v>299016.7</c:v>
                </c:pt>
                <c:pt idx="171">
                  <c:v>297812.5</c:v>
                </c:pt>
                <c:pt idx="172">
                  <c:v>297442.2</c:v>
                </c:pt>
                <c:pt idx="173">
                  <c:v>297588.5</c:v>
                </c:pt>
                <c:pt idx="174">
                  <c:v>297624.3</c:v>
                </c:pt>
                <c:pt idx="175">
                  <c:v>297666.7</c:v>
                </c:pt>
                <c:pt idx="176">
                  <c:v>297713.59999999998</c:v>
                </c:pt>
                <c:pt idx="177">
                  <c:v>297756.59999999998</c:v>
                </c:pt>
                <c:pt idx="178">
                  <c:v>297790.59999999998</c:v>
                </c:pt>
                <c:pt idx="179">
                  <c:v>297815.09999999998</c:v>
                </c:pt>
                <c:pt idx="180">
                  <c:v>297832.2</c:v>
                </c:pt>
                <c:pt idx="181">
                  <c:v>297844.59999999998</c:v>
                </c:pt>
                <c:pt idx="182">
                  <c:v>297855.2</c:v>
                </c:pt>
                <c:pt idx="183">
                  <c:v>297866.40000000002</c:v>
                </c:pt>
                <c:pt idx="184">
                  <c:v>297880.09999999998</c:v>
                </c:pt>
                <c:pt idx="185">
                  <c:v>297897.5</c:v>
                </c:pt>
                <c:pt idx="186">
                  <c:v>297918.40000000002</c:v>
                </c:pt>
                <c:pt idx="187">
                  <c:v>297941.8</c:v>
                </c:pt>
                <c:pt idx="188">
                  <c:v>297965.59999999998</c:v>
                </c:pt>
                <c:pt idx="189">
                  <c:v>297987.5</c:v>
                </c:pt>
                <c:pt idx="190">
                  <c:v>298005.40000000002</c:v>
                </c:pt>
                <c:pt idx="191">
                  <c:v>298017.40000000002</c:v>
                </c:pt>
                <c:pt idx="192">
                  <c:v>298022.59999999998</c:v>
                </c:pt>
                <c:pt idx="193">
                  <c:v>298020.59999999998</c:v>
                </c:pt>
                <c:pt idx="194">
                  <c:v>298011.59999999998</c:v>
                </c:pt>
                <c:pt idx="195">
                  <c:v>297996.09999999998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EBA-4372-A091-21E8DA4564FA}"/>
            </c:ext>
          </c:extLst>
        </c:ser>
        <c:ser>
          <c:idx val="3"/>
          <c:order val="3"/>
          <c:tx>
            <c:strRef>
              <c:f>variable_inlet!$M$1</c:f>
              <c:strCache>
                <c:ptCount val="1"/>
                <c:pt idx="0">
                  <c:v>3 kierownice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variable_inlet!$L$5:$L$200</c:f>
              <c:numCache>
                <c:formatCode>General</c:formatCode>
                <c:ptCount val="196"/>
                <c:pt idx="0">
                  <c:v>0</c:v>
                </c:pt>
                <c:pt idx="1">
                  <c:v>2.7779999999999998E-4</c:v>
                </c:pt>
                <c:pt idx="2">
                  <c:v>5.5559999999999995E-4</c:v>
                </c:pt>
                <c:pt idx="3">
                  <c:v>8.3339989999999995E-4</c:v>
                </c:pt>
                <c:pt idx="4">
                  <c:v>1.1111999999999999E-3</c:v>
                </c:pt>
                <c:pt idx="5">
                  <c:v>1.389E-3</c:v>
                </c:pt>
                <c:pt idx="6">
                  <c:v>1.6668E-3</c:v>
                </c:pt>
                <c:pt idx="7">
                  <c:v>1.9446000000000001E-3</c:v>
                </c:pt>
                <c:pt idx="8">
                  <c:v>2.2223999999999998E-3</c:v>
                </c:pt>
                <c:pt idx="9">
                  <c:v>2.5002000000000002E-3</c:v>
                </c:pt>
                <c:pt idx="10">
                  <c:v>2.7780000000000001E-3</c:v>
                </c:pt>
                <c:pt idx="11">
                  <c:v>3.0558E-3</c:v>
                </c:pt>
                <c:pt idx="12">
                  <c:v>3.3335999999999999E-3</c:v>
                </c:pt>
                <c:pt idx="13">
                  <c:v>3.6113999999999999E-3</c:v>
                </c:pt>
                <c:pt idx="14">
                  <c:v>3.8892000000000002E-3</c:v>
                </c:pt>
                <c:pt idx="15">
                  <c:v>4.1669999999999997E-3</c:v>
                </c:pt>
                <c:pt idx="16">
                  <c:v>4.4447999999999996E-3</c:v>
                </c:pt>
                <c:pt idx="17">
                  <c:v>4.7226000000000004E-3</c:v>
                </c:pt>
                <c:pt idx="18">
                  <c:v>5.0004000000000003E-3</c:v>
                </c:pt>
                <c:pt idx="19">
                  <c:v>5.2782000000000003E-3</c:v>
                </c:pt>
                <c:pt idx="20">
                  <c:v>5.5560000000000002E-3</c:v>
                </c:pt>
                <c:pt idx="21">
                  <c:v>5.8338000000000001E-3</c:v>
                </c:pt>
                <c:pt idx="22">
                  <c:v>6.1116E-3</c:v>
                </c:pt>
                <c:pt idx="23">
                  <c:v>6.3893999999999999E-3</c:v>
                </c:pt>
                <c:pt idx="24">
                  <c:v>6.6671999999999999E-3</c:v>
                </c:pt>
                <c:pt idx="25">
                  <c:v>6.9449999999999998E-3</c:v>
                </c:pt>
                <c:pt idx="26">
                  <c:v>7.2227999999999997E-3</c:v>
                </c:pt>
                <c:pt idx="27">
                  <c:v>7.5005999999999996E-3</c:v>
                </c:pt>
                <c:pt idx="28">
                  <c:v>7.7784000000000004E-3</c:v>
                </c:pt>
                <c:pt idx="29">
                  <c:v>8.0561999999999995E-3</c:v>
                </c:pt>
                <c:pt idx="30">
                  <c:v>8.3339999999999994E-3</c:v>
                </c:pt>
                <c:pt idx="31">
                  <c:v>8.6117999999999993E-3</c:v>
                </c:pt>
                <c:pt idx="32">
                  <c:v>8.8895999999999992E-3</c:v>
                </c:pt>
                <c:pt idx="33">
                  <c:v>9.1673989999999997E-3</c:v>
                </c:pt>
                <c:pt idx="34">
                  <c:v>9.4452000000000008E-3</c:v>
                </c:pt>
                <c:pt idx="35">
                  <c:v>9.7229989999999995E-3</c:v>
                </c:pt>
                <c:pt idx="36">
                  <c:v>1.0000800000000001E-2</c:v>
                </c:pt>
                <c:pt idx="37">
                  <c:v>1.0278600000000001E-2</c:v>
                </c:pt>
                <c:pt idx="38">
                  <c:v>1.0556400000000001E-2</c:v>
                </c:pt>
                <c:pt idx="39">
                  <c:v>1.08342E-2</c:v>
                </c:pt>
                <c:pt idx="40">
                  <c:v>1.1112E-2</c:v>
                </c:pt>
                <c:pt idx="41">
                  <c:v>1.13898E-2</c:v>
                </c:pt>
                <c:pt idx="42">
                  <c:v>1.16676E-2</c:v>
                </c:pt>
                <c:pt idx="43">
                  <c:v>1.19454E-2</c:v>
                </c:pt>
                <c:pt idx="44">
                  <c:v>1.22232E-2</c:v>
                </c:pt>
                <c:pt idx="45">
                  <c:v>1.2501E-2</c:v>
                </c:pt>
                <c:pt idx="46">
                  <c:v>1.27788E-2</c:v>
                </c:pt>
                <c:pt idx="47">
                  <c:v>1.30566E-2</c:v>
                </c:pt>
                <c:pt idx="48">
                  <c:v>1.33344E-2</c:v>
                </c:pt>
                <c:pt idx="49">
                  <c:v>1.36122E-2</c:v>
                </c:pt>
                <c:pt idx="50">
                  <c:v>1.389E-2</c:v>
                </c:pt>
                <c:pt idx="51">
                  <c:v>1.4167799999999999E-2</c:v>
                </c:pt>
                <c:pt idx="52">
                  <c:v>1.4445599999999999E-2</c:v>
                </c:pt>
                <c:pt idx="53">
                  <c:v>1.4723399999999999E-2</c:v>
                </c:pt>
                <c:pt idx="54">
                  <c:v>1.5001199999999999E-2</c:v>
                </c:pt>
                <c:pt idx="55">
                  <c:v>1.5278999999999999E-2</c:v>
                </c:pt>
                <c:pt idx="56">
                  <c:v>1.5556800000000001E-2</c:v>
                </c:pt>
                <c:pt idx="57">
                  <c:v>1.5834600000000001E-2</c:v>
                </c:pt>
                <c:pt idx="58">
                  <c:v>1.6112399999999999E-2</c:v>
                </c:pt>
                <c:pt idx="59">
                  <c:v>1.6390200000000001E-2</c:v>
                </c:pt>
                <c:pt idx="60">
                  <c:v>1.6667999999999999E-2</c:v>
                </c:pt>
                <c:pt idx="61">
                  <c:v>1.69458E-2</c:v>
                </c:pt>
                <c:pt idx="62">
                  <c:v>1.7223599999999999E-2</c:v>
                </c:pt>
                <c:pt idx="63">
                  <c:v>1.75014E-2</c:v>
                </c:pt>
                <c:pt idx="64">
                  <c:v>1.7779199999999998E-2</c:v>
                </c:pt>
                <c:pt idx="65">
                  <c:v>1.8057E-2</c:v>
                </c:pt>
                <c:pt idx="66">
                  <c:v>1.8334799999999998E-2</c:v>
                </c:pt>
                <c:pt idx="67">
                  <c:v>1.86126E-2</c:v>
                </c:pt>
                <c:pt idx="68">
                  <c:v>1.8890400000000002E-2</c:v>
                </c:pt>
                <c:pt idx="69">
                  <c:v>1.91682E-2</c:v>
                </c:pt>
                <c:pt idx="70">
                  <c:v>1.9446000000000001E-2</c:v>
                </c:pt>
                <c:pt idx="71">
                  <c:v>1.97238E-2</c:v>
                </c:pt>
                <c:pt idx="72">
                  <c:v>2.0001600000000001E-2</c:v>
                </c:pt>
                <c:pt idx="73">
                  <c:v>2.02794E-2</c:v>
                </c:pt>
                <c:pt idx="74">
                  <c:v>2.0557200000000001E-2</c:v>
                </c:pt>
                <c:pt idx="75">
                  <c:v>2.0834999999999999E-2</c:v>
                </c:pt>
                <c:pt idx="76">
                  <c:v>2.1112800000000001E-2</c:v>
                </c:pt>
                <c:pt idx="77">
                  <c:v>2.1390599999999999E-2</c:v>
                </c:pt>
                <c:pt idx="78">
                  <c:v>2.1668400000000001E-2</c:v>
                </c:pt>
                <c:pt idx="79">
                  <c:v>2.1946199999999999E-2</c:v>
                </c:pt>
                <c:pt idx="80">
                  <c:v>2.2224000000000001E-2</c:v>
                </c:pt>
                <c:pt idx="81">
                  <c:v>2.2501799999999999E-2</c:v>
                </c:pt>
                <c:pt idx="82">
                  <c:v>2.2779600000000001E-2</c:v>
                </c:pt>
                <c:pt idx="83">
                  <c:v>2.3057399999999999E-2</c:v>
                </c:pt>
                <c:pt idx="84">
                  <c:v>2.33352E-2</c:v>
                </c:pt>
                <c:pt idx="85">
                  <c:v>2.3612999999999999E-2</c:v>
                </c:pt>
                <c:pt idx="86">
                  <c:v>2.38908E-2</c:v>
                </c:pt>
                <c:pt idx="87">
                  <c:v>2.4168599999999998E-2</c:v>
                </c:pt>
                <c:pt idx="88">
                  <c:v>2.44464E-2</c:v>
                </c:pt>
                <c:pt idx="89">
                  <c:v>2.4724200000000002E-2</c:v>
                </c:pt>
                <c:pt idx="90">
                  <c:v>2.5002E-2</c:v>
                </c:pt>
                <c:pt idx="91">
                  <c:v>2.5279800000000002E-2</c:v>
                </c:pt>
                <c:pt idx="92">
                  <c:v>2.55576E-2</c:v>
                </c:pt>
                <c:pt idx="93">
                  <c:v>2.5835400000000001E-2</c:v>
                </c:pt>
                <c:pt idx="94">
                  <c:v>2.61132E-2</c:v>
                </c:pt>
                <c:pt idx="95">
                  <c:v>2.6391000000000001E-2</c:v>
                </c:pt>
                <c:pt idx="96">
                  <c:v>2.6668799999999999E-2</c:v>
                </c:pt>
                <c:pt idx="97">
                  <c:v>2.6946600000000001E-2</c:v>
                </c:pt>
                <c:pt idx="98">
                  <c:v>2.7224399999999999E-2</c:v>
                </c:pt>
                <c:pt idx="99">
                  <c:v>2.7502200000000001E-2</c:v>
                </c:pt>
                <c:pt idx="100">
                  <c:v>2.7779999999999999E-2</c:v>
                </c:pt>
                <c:pt idx="101">
                  <c:v>2.8057800000000001E-2</c:v>
                </c:pt>
                <c:pt idx="102">
                  <c:v>2.8335599999999999E-2</c:v>
                </c:pt>
                <c:pt idx="103">
                  <c:v>2.8613400000000001E-2</c:v>
                </c:pt>
                <c:pt idx="104">
                  <c:v>2.8891199999999999E-2</c:v>
                </c:pt>
                <c:pt idx="105">
                  <c:v>2.9169E-2</c:v>
                </c:pt>
                <c:pt idx="106">
                  <c:v>2.9446799999999999E-2</c:v>
                </c:pt>
                <c:pt idx="107">
                  <c:v>2.97246E-2</c:v>
                </c:pt>
                <c:pt idx="108">
                  <c:v>3.0002399999999999E-2</c:v>
                </c:pt>
                <c:pt idx="109">
                  <c:v>3.02802E-2</c:v>
                </c:pt>
                <c:pt idx="110">
                  <c:v>3.0557999999999998E-2</c:v>
                </c:pt>
                <c:pt idx="111">
                  <c:v>3.08358E-2</c:v>
                </c:pt>
                <c:pt idx="112">
                  <c:v>3.1113600000000002E-2</c:v>
                </c:pt>
                <c:pt idx="113">
                  <c:v>3.13914E-2</c:v>
                </c:pt>
                <c:pt idx="114">
                  <c:v>3.1669200000000002E-2</c:v>
                </c:pt>
                <c:pt idx="115">
                  <c:v>3.1947000000000003E-2</c:v>
                </c:pt>
                <c:pt idx="116">
                  <c:v>3.2224799999999998E-2</c:v>
                </c:pt>
                <c:pt idx="117">
                  <c:v>3.25026E-2</c:v>
                </c:pt>
                <c:pt idx="118">
                  <c:v>3.2780400000000001E-2</c:v>
                </c:pt>
                <c:pt idx="119">
                  <c:v>3.3058200000000003E-2</c:v>
                </c:pt>
                <c:pt idx="120">
                  <c:v>3.3335999999999998E-2</c:v>
                </c:pt>
                <c:pt idx="121">
                  <c:v>3.3613799999999999E-2</c:v>
                </c:pt>
                <c:pt idx="122">
                  <c:v>3.3891600000000001E-2</c:v>
                </c:pt>
                <c:pt idx="123">
                  <c:v>3.4169400000000003E-2</c:v>
                </c:pt>
                <c:pt idx="124">
                  <c:v>3.4447199999999997E-2</c:v>
                </c:pt>
                <c:pt idx="125">
                  <c:v>3.4724999999999999E-2</c:v>
                </c:pt>
                <c:pt idx="126">
                  <c:v>3.5002800000000001E-2</c:v>
                </c:pt>
                <c:pt idx="127">
                  <c:v>3.5280600000000002E-2</c:v>
                </c:pt>
                <c:pt idx="128">
                  <c:v>3.5558399999999997E-2</c:v>
                </c:pt>
                <c:pt idx="129">
                  <c:v>3.5836199999999999E-2</c:v>
                </c:pt>
                <c:pt idx="130">
                  <c:v>3.6114E-2</c:v>
                </c:pt>
                <c:pt idx="131">
                  <c:v>3.6391800000000002E-2</c:v>
                </c:pt>
                <c:pt idx="132">
                  <c:v>3.6669599999999997E-2</c:v>
                </c:pt>
                <c:pt idx="133">
                  <c:v>3.6947399999999998E-2</c:v>
                </c:pt>
                <c:pt idx="134">
                  <c:v>3.72252E-2</c:v>
                </c:pt>
                <c:pt idx="135">
                  <c:v>3.7503000000000002E-2</c:v>
                </c:pt>
                <c:pt idx="136">
                  <c:v>3.7780800000000003E-2</c:v>
                </c:pt>
                <c:pt idx="137">
                  <c:v>3.8058599999999998E-2</c:v>
                </c:pt>
                <c:pt idx="138">
                  <c:v>3.83364E-2</c:v>
                </c:pt>
                <c:pt idx="139">
                  <c:v>3.8614200000000001E-2</c:v>
                </c:pt>
                <c:pt idx="140">
                  <c:v>3.8892000000000003E-2</c:v>
                </c:pt>
                <c:pt idx="141">
                  <c:v>3.9169799999999998E-2</c:v>
                </c:pt>
                <c:pt idx="142">
                  <c:v>3.9447599999999999E-2</c:v>
                </c:pt>
                <c:pt idx="143">
                  <c:v>3.9725400000000001E-2</c:v>
                </c:pt>
                <c:pt idx="144">
                  <c:v>4.0003200000000003E-2</c:v>
                </c:pt>
                <c:pt idx="145">
                  <c:v>4.0280999999999997E-2</c:v>
                </c:pt>
                <c:pt idx="146">
                  <c:v>4.0558799999999999E-2</c:v>
                </c:pt>
                <c:pt idx="147">
                  <c:v>4.0836600000000001E-2</c:v>
                </c:pt>
                <c:pt idx="148">
                  <c:v>4.1114400000000002E-2</c:v>
                </c:pt>
                <c:pt idx="149">
                  <c:v>4.1392199999999997E-2</c:v>
                </c:pt>
                <c:pt idx="150">
                  <c:v>4.1669999999999999E-2</c:v>
                </c:pt>
                <c:pt idx="151">
                  <c:v>4.19478E-2</c:v>
                </c:pt>
                <c:pt idx="152">
                  <c:v>4.2225600000000002E-2</c:v>
                </c:pt>
                <c:pt idx="153">
                  <c:v>4.2503399999999997E-2</c:v>
                </c:pt>
                <c:pt idx="154">
                  <c:v>4.2781199999999998E-2</c:v>
                </c:pt>
                <c:pt idx="155">
                  <c:v>4.3059E-2</c:v>
                </c:pt>
                <c:pt idx="156">
                  <c:v>4.3336800000000002E-2</c:v>
                </c:pt>
                <c:pt idx="157">
                  <c:v>4.3614600000000003E-2</c:v>
                </c:pt>
                <c:pt idx="158">
                  <c:v>4.3892399999999998E-2</c:v>
                </c:pt>
                <c:pt idx="159">
                  <c:v>4.41702E-2</c:v>
                </c:pt>
                <c:pt idx="160">
                  <c:v>4.4448000000000001E-2</c:v>
                </c:pt>
                <c:pt idx="161">
                  <c:v>4.4725800000000003E-2</c:v>
                </c:pt>
                <c:pt idx="162">
                  <c:v>4.5003599999999998E-2</c:v>
                </c:pt>
                <c:pt idx="163">
                  <c:v>4.5281399999999999E-2</c:v>
                </c:pt>
                <c:pt idx="164">
                  <c:v>4.5559200000000001E-2</c:v>
                </c:pt>
                <c:pt idx="165">
                  <c:v>4.5837000000000003E-2</c:v>
                </c:pt>
                <c:pt idx="166">
                  <c:v>4.6114799999999997E-2</c:v>
                </c:pt>
                <c:pt idx="167">
                  <c:v>4.6392599999999999E-2</c:v>
                </c:pt>
                <c:pt idx="168">
                  <c:v>4.6670400000000001E-2</c:v>
                </c:pt>
                <c:pt idx="169">
                  <c:v>4.6948200000000002E-2</c:v>
                </c:pt>
                <c:pt idx="170">
                  <c:v>4.7225999999999997E-2</c:v>
                </c:pt>
                <c:pt idx="171">
                  <c:v>4.7503799999999999E-2</c:v>
                </c:pt>
                <c:pt idx="172">
                  <c:v>4.77816E-2</c:v>
                </c:pt>
                <c:pt idx="173">
                  <c:v>4.8059400000000002E-2</c:v>
                </c:pt>
                <c:pt idx="174">
                  <c:v>4.8337199999999997E-2</c:v>
                </c:pt>
                <c:pt idx="175">
                  <c:v>4.8614999999999998E-2</c:v>
                </c:pt>
                <c:pt idx="176">
                  <c:v>4.88928E-2</c:v>
                </c:pt>
                <c:pt idx="177">
                  <c:v>4.9170600000000002E-2</c:v>
                </c:pt>
                <c:pt idx="178">
                  <c:v>4.9448400000000003E-2</c:v>
                </c:pt>
                <c:pt idx="179">
                  <c:v>4.9726199999999998E-2</c:v>
                </c:pt>
                <c:pt idx="180">
                  <c:v>5.0004E-2</c:v>
                </c:pt>
                <c:pt idx="181">
                  <c:v>5.0281800000000001E-2</c:v>
                </c:pt>
                <c:pt idx="182">
                  <c:v>5.0559600000000003E-2</c:v>
                </c:pt>
                <c:pt idx="183">
                  <c:v>5.0837399999999998E-2</c:v>
                </c:pt>
                <c:pt idx="184">
                  <c:v>5.11152E-2</c:v>
                </c:pt>
                <c:pt idx="185">
                  <c:v>5.1393000000000001E-2</c:v>
                </c:pt>
                <c:pt idx="186">
                  <c:v>5.1670800000000003E-2</c:v>
                </c:pt>
                <c:pt idx="187">
                  <c:v>5.1948599999999998E-2</c:v>
                </c:pt>
                <c:pt idx="188">
                  <c:v>5.2226399999999999E-2</c:v>
                </c:pt>
                <c:pt idx="189">
                  <c:v>5.2504200000000001E-2</c:v>
                </c:pt>
                <c:pt idx="190">
                  <c:v>5.2782000000000003E-2</c:v>
                </c:pt>
                <c:pt idx="191">
                  <c:v>5.3059799999999997E-2</c:v>
                </c:pt>
                <c:pt idx="192">
                  <c:v>5.3337599999999999E-2</c:v>
                </c:pt>
                <c:pt idx="193">
                  <c:v>5.3615400000000001E-2</c:v>
                </c:pt>
                <c:pt idx="194">
                  <c:v>5.3893200000000002E-2</c:v>
                </c:pt>
                <c:pt idx="195">
                  <c:v>5.4170999999999997E-2</c:v>
                </c:pt>
              </c:numCache>
            </c:numRef>
          </c:xVal>
          <c:yVal>
            <c:numRef>
              <c:f>variable_inlet!$O$5:$O$200</c:f>
              <c:numCache>
                <c:formatCode>General</c:formatCode>
                <c:ptCount val="196"/>
                <c:pt idx="0">
                  <c:v>300000.2</c:v>
                </c:pt>
                <c:pt idx="1">
                  <c:v>300000.2</c:v>
                </c:pt>
                <c:pt idx="2">
                  <c:v>300452.90000000002</c:v>
                </c:pt>
                <c:pt idx="3">
                  <c:v>301574.09999999998</c:v>
                </c:pt>
                <c:pt idx="4">
                  <c:v>303114.7</c:v>
                </c:pt>
                <c:pt idx="5">
                  <c:v>304563.59999999998</c:v>
                </c:pt>
                <c:pt idx="6">
                  <c:v>305733.40000000002</c:v>
                </c:pt>
                <c:pt idx="7">
                  <c:v>307094</c:v>
                </c:pt>
                <c:pt idx="8">
                  <c:v>309447</c:v>
                </c:pt>
                <c:pt idx="9">
                  <c:v>310310.2</c:v>
                </c:pt>
                <c:pt idx="10">
                  <c:v>311731.3</c:v>
                </c:pt>
                <c:pt idx="11">
                  <c:v>313252.8</c:v>
                </c:pt>
                <c:pt idx="12">
                  <c:v>314578.2</c:v>
                </c:pt>
                <c:pt idx="13">
                  <c:v>315442.2</c:v>
                </c:pt>
                <c:pt idx="14">
                  <c:v>316260.7</c:v>
                </c:pt>
                <c:pt idx="15">
                  <c:v>317053.5</c:v>
                </c:pt>
                <c:pt idx="16">
                  <c:v>317570.7</c:v>
                </c:pt>
                <c:pt idx="17">
                  <c:v>317465.09999999998</c:v>
                </c:pt>
                <c:pt idx="18">
                  <c:v>316917.7</c:v>
                </c:pt>
                <c:pt idx="19">
                  <c:v>315472.8</c:v>
                </c:pt>
                <c:pt idx="20">
                  <c:v>313513.90000000002</c:v>
                </c:pt>
                <c:pt idx="21">
                  <c:v>311342.8</c:v>
                </c:pt>
                <c:pt idx="22">
                  <c:v>309183.2</c:v>
                </c:pt>
                <c:pt idx="23">
                  <c:v>307194.2</c:v>
                </c:pt>
                <c:pt idx="24">
                  <c:v>305699.8</c:v>
                </c:pt>
                <c:pt idx="25">
                  <c:v>304154.59999999998</c:v>
                </c:pt>
                <c:pt idx="26">
                  <c:v>302749</c:v>
                </c:pt>
                <c:pt idx="27">
                  <c:v>301571.5</c:v>
                </c:pt>
                <c:pt idx="28">
                  <c:v>301203</c:v>
                </c:pt>
                <c:pt idx="29">
                  <c:v>301352.8</c:v>
                </c:pt>
                <c:pt idx="30">
                  <c:v>301386.8</c:v>
                </c:pt>
                <c:pt idx="31">
                  <c:v>301420.3</c:v>
                </c:pt>
                <c:pt idx="32">
                  <c:v>301449</c:v>
                </c:pt>
                <c:pt idx="33">
                  <c:v>301467.2</c:v>
                </c:pt>
                <c:pt idx="34">
                  <c:v>301471.8</c:v>
                </c:pt>
                <c:pt idx="35">
                  <c:v>301463.2</c:v>
                </c:pt>
                <c:pt idx="36">
                  <c:v>301443.5</c:v>
                </c:pt>
                <c:pt idx="37">
                  <c:v>301414.8</c:v>
                </c:pt>
                <c:pt idx="38">
                  <c:v>301379</c:v>
                </c:pt>
                <c:pt idx="39">
                  <c:v>301338.40000000002</c:v>
                </c:pt>
                <c:pt idx="40">
                  <c:v>301294.8</c:v>
                </c:pt>
                <c:pt idx="41">
                  <c:v>301249.8</c:v>
                </c:pt>
                <c:pt idx="42">
                  <c:v>301204.59999999998</c:v>
                </c:pt>
                <c:pt idx="43">
                  <c:v>301160</c:v>
                </c:pt>
                <c:pt idx="44">
                  <c:v>301116.90000000002</c:v>
                </c:pt>
                <c:pt idx="45">
                  <c:v>301075.7</c:v>
                </c:pt>
                <c:pt idx="46">
                  <c:v>301036.79999999999</c:v>
                </c:pt>
                <c:pt idx="47">
                  <c:v>301000.09999999998</c:v>
                </c:pt>
                <c:pt idx="48">
                  <c:v>300965.59999999998</c:v>
                </c:pt>
                <c:pt idx="49">
                  <c:v>300933.09999999998</c:v>
                </c:pt>
                <c:pt idx="50">
                  <c:v>300902.40000000002</c:v>
                </c:pt>
                <c:pt idx="51">
                  <c:v>300873.3</c:v>
                </c:pt>
                <c:pt idx="52">
                  <c:v>300845.40000000002</c:v>
                </c:pt>
                <c:pt idx="53">
                  <c:v>300818.5</c:v>
                </c:pt>
                <c:pt idx="54">
                  <c:v>300792.7</c:v>
                </c:pt>
                <c:pt idx="55">
                  <c:v>300767.90000000002</c:v>
                </c:pt>
                <c:pt idx="56">
                  <c:v>300744.59999999998</c:v>
                </c:pt>
                <c:pt idx="57">
                  <c:v>300723.09999999998</c:v>
                </c:pt>
                <c:pt idx="58">
                  <c:v>300704.40000000002</c:v>
                </c:pt>
                <c:pt idx="59">
                  <c:v>300689.8</c:v>
                </c:pt>
                <c:pt idx="60">
                  <c:v>300681.2</c:v>
                </c:pt>
                <c:pt idx="61">
                  <c:v>300681.90000000002</c:v>
                </c:pt>
                <c:pt idx="62">
                  <c:v>300696.09999999998</c:v>
                </c:pt>
                <c:pt idx="63">
                  <c:v>300727.5</c:v>
                </c:pt>
                <c:pt idx="64">
                  <c:v>300776.7</c:v>
                </c:pt>
                <c:pt idx="65">
                  <c:v>300839.90000000002</c:v>
                </c:pt>
                <c:pt idx="66">
                  <c:v>300911.8</c:v>
                </c:pt>
                <c:pt idx="67">
                  <c:v>300988.09999999998</c:v>
                </c:pt>
                <c:pt idx="68">
                  <c:v>301065.2</c:v>
                </c:pt>
                <c:pt idx="69">
                  <c:v>301139.8</c:v>
                </c:pt>
                <c:pt idx="70">
                  <c:v>301213.40000000002</c:v>
                </c:pt>
                <c:pt idx="71">
                  <c:v>301281.5</c:v>
                </c:pt>
                <c:pt idx="72">
                  <c:v>301345.3</c:v>
                </c:pt>
                <c:pt idx="73">
                  <c:v>301881.8</c:v>
                </c:pt>
                <c:pt idx="74">
                  <c:v>303091.3</c:v>
                </c:pt>
                <c:pt idx="75">
                  <c:v>304696</c:v>
                </c:pt>
                <c:pt idx="76">
                  <c:v>306175.40000000002</c:v>
                </c:pt>
                <c:pt idx="77">
                  <c:v>307310.5</c:v>
                </c:pt>
                <c:pt idx="78">
                  <c:v>308611.8</c:v>
                </c:pt>
                <c:pt idx="79">
                  <c:v>309735.3</c:v>
                </c:pt>
                <c:pt idx="80">
                  <c:v>310585.3</c:v>
                </c:pt>
                <c:pt idx="81">
                  <c:v>311329.40000000002</c:v>
                </c:pt>
                <c:pt idx="82">
                  <c:v>312395.2</c:v>
                </c:pt>
                <c:pt idx="83">
                  <c:v>313568.8</c:v>
                </c:pt>
                <c:pt idx="84">
                  <c:v>314561.8</c:v>
                </c:pt>
                <c:pt idx="85">
                  <c:v>315097.90000000002</c:v>
                </c:pt>
                <c:pt idx="86">
                  <c:v>315622.2</c:v>
                </c:pt>
                <c:pt idx="87">
                  <c:v>316134</c:v>
                </c:pt>
                <c:pt idx="88">
                  <c:v>316341.59999999998</c:v>
                </c:pt>
                <c:pt idx="89">
                  <c:v>315908.09999999998</c:v>
                </c:pt>
                <c:pt idx="90">
                  <c:v>315112</c:v>
                </c:pt>
                <c:pt idx="91">
                  <c:v>313549.59999999998</c:v>
                </c:pt>
                <c:pt idx="92">
                  <c:v>311507.8</c:v>
                </c:pt>
                <c:pt idx="93">
                  <c:v>309234.90000000002</c:v>
                </c:pt>
                <c:pt idx="94">
                  <c:v>306969.40000000002</c:v>
                </c:pt>
                <c:pt idx="95">
                  <c:v>304914.5</c:v>
                </c:pt>
                <c:pt idx="96">
                  <c:v>303392.8</c:v>
                </c:pt>
                <c:pt idx="97">
                  <c:v>301812.7</c:v>
                </c:pt>
                <c:pt idx="98">
                  <c:v>300367.7</c:v>
                </c:pt>
                <c:pt idx="99">
                  <c:v>299171.09999999998</c:v>
                </c:pt>
                <c:pt idx="100">
                  <c:v>298810.59999999998</c:v>
                </c:pt>
                <c:pt idx="101">
                  <c:v>298961.40000000002</c:v>
                </c:pt>
                <c:pt idx="102">
                  <c:v>298997.7</c:v>
                </c:pt>
                <c:pt idx="103">
                  <c:v>299034.7</c:v>
                </c:pt>
                <c:pt idx="104">
                  <c:v>299069</c:v>
                </c:pt>
                <c:pt idx="105">
                  <c:v>299095</c:v>
                </c:pt>
                <c:pt idx="106">
                  <c:v>299109.5</c:v>
                </c:pt>
                <c:pt idx="107">
                  <c:v>299112.5</c:v>
                </c:pt>
                <c:pt idx="108">
                  <c:v>299105.59999999998</c:v>
                </c:pt>
                <c:pt idx="109">
                  <c:v>299090.40000000002</c:v>
                </c:pt>
                <c:pt idx="110">
                  <c:v>299068.09999999998</c:v>
                </c:pt>
                <c:pt idx="111">
                  <c:v>299040.09999999998</c:v>
                </c:pt>
                <c:pt idx="112">
                  <c:v>299007.7</c:v>
                </c:pt>
                <c:pt idx="113">
                  <c:v>298971.90000000002</c:v>
                </c:pt>
                <c:pt idx="114">
                  <c:v>298933.59999999998</c:v>
                </c:pt>
                <c:pt idx="115">
                  <c:v>298893.59999999998</c:v>
                </c:pt>
                <c:pt idx="116">
                  <c:v>298852.5</c:v>
                </c:pt>
                <c:pt idx="117">
                  <c:v>298810.59999999998</c:v>
                </c:pt>
                <c:pt idx="118">
                  <c:v>298768.3</c:v>
                </c:pt>
                <c:pt idx="119">
                  <c:v>298726.09999999998</c:v>
                </c:pt>
                <c:pt idx="120">
                  <c:v>298684.2</c:v>
                </c:pt>
                <c:pt idx="121">
                  <c:v>298642.59999999998</c:v>
                </c:pt>
                <c:pt idx="122">
                  <c:v>298601.40000000002</c:v>
                </c:pt>
                <c:pt idx="123">
                  <c:v>298560.59999999998</c:v>
                </c:pt>
                <c:pt idx="124">
                  <c:v>298519.7</c:v>
                </c:pt>
                <c:pt idx="125">
                  <c:v>298478.7</c:v>
                </c:pt>
                <c:pt idx="126">
                  <c:v>298437.09999999998</c:v>
                </c:pt>
                <c:pt idx="127">
                  <c:v>298394.5</c:v>
                </c:pt>
                <c:pt idx="128">
                  <c:v>298350.5</c:v>
                </c:pt>
                <c:pt idx="129">
                  <c:v>298304.8</c:v>
                </c:pt>
                <c:pt idx="130">
                  <c:v>298257.09999999998</c:v>
                </c:pt>
                <c:pt idx="131">
                  <c:v>298207.09999999998</c:v>
                </c:pt>
                <c:pt idx="132">
                  <c:v>298154.59999999998</c:v>
                </c:pt>
                <c:pt idx="133">
                  <c:v>298099.8</c:v>
                </c:pt>
                <c:pt idx="134">
                  <c:v>298043</c:v>
                </c:pt>
                <c:pt idx="135">
                  <c:v>297985.09999999998</c:v>
                </c:pt>
                <c:pt idx="136">
                  <c:v>297926.90000000002</c:v>
                </c:pt>
                <c:pt idx="137">
                  <c:v>297869.3</c:v>
                </c:pt>
                <c:pt idx="138">
                  <c:v>297813</c:v>
                </c:pt>
                <c:pt idx="139">
                  <c:v>297758.59999999998</c:v>
                </c:pt>
                <c:pt idx="140">
                  <c:v>297706.2</c:v>
                </c:pt>
                <c:pt idx="141">
                  <c:v>297656.2</c:v>
                </c:pt>
                <c:pt idx="142">
                  <c:v>297609</c:v>
                </c:pt>
                <c:pt idx="143">
                  <c:v>297570.8</c:v>
                </c:pt>
                <c:pt idx="144">
                  <c:v>297529.2</c:v>
                </c:pt>
                <c:pt idx="145">
                  <c:v>297918.59999999998</c:v>
                </c:pt>
                <c:pt idx="146">
                  <c:v>298977</c:v>
                </c:pt>
                <c:pt idx="147">
                  <c:v>300471.2</c:v>
                </c:pt>
                <c:pt idx="148">
                  <c:v>301906.09999999998</c:v>
                </c:pt>
                <c:pt idx="149">
                  <c:v>303092</c:v>
                </c:pt>
                <c:pt idx="150">
                  <c:v>304498.5</c:v>
                </c:pt>
                <c:pt idx="151">
                  <c:v>305765.7</c:v>
                </c:pt>
                <c:pt idx="152">
                  <c:v>306768.8</c:v>
                </c:pt>
                <c:pt idx="153">
                  <c:v>307732</c:v>
                </c:pt>
                <c:pt idx="154">
                  <c:v>309103.59999999998</c:v>
                </c:pt>
                <c:pt idx="155">
                  <c:v>310614.59999999998</c:v>
                </c:pt>
                <c:pt idx="156">
                  <c:v>311941.7</c:v>
                </c:pt>
                <c:pt idx="157">
                  <c:v>312776.90000000002</c:v>
                </c:pt>
                <c:pt idx="158">
                  <c:v>313540.40000000002</c:v>
                </c:pt>
                <c:pt idx="159">
                  <c:v>314243</c:v>
                </c:pt>
                <c:pt idx="160">
                  <c:v>314634.3</c:v>
                </c:pt>
                <c:pt idx="161">
                  <c:v>314408.5</c:v>
                </c:pt>
                <c:pt idx="162">
                  <c:v>313779.20000000001</c:v>
                </c:pt>
                <c:pt idx="163">
                  <c:v>312267.09999999998</c:v>
                </c:pt>
                <c:pt idx="164">
                  <c:v>310237.90000000002</c:v>
                </c:pt>
                <c:pt idx="165">
                  <c:v>308025.7</c:v>
                </c:pt>
                <c:pt idx="166">
                  <c:v>305845.2</c:v>
                </c:pt>
                <c:pt idx="167">
                  <c:v>303838.8</c:v>
                </c:pt>
                <c:pt idx="168">
                  <c:v>302330.2</c:v>
                </c:pt>
                <c:pt idx="169">
                  <c:v>300764.7</c:v>
                </c:pt>
                <c:pt idx="170">
                  <c:v>299340.40000000002</c:v>
                </c:pt>
                <c:pt idx="171">
                  <c:v>298160</c:v>
                </c:pt>
                <c:pt idx="172">
                  <c:v>297802.90000000002</c:v>
                </c:pt>
                <c:pt idx="173">
                  <c:v>297959.7</c:v>
                </c:pt>
                <c:pt idx="174">
                  <c:v>298004.2</c:v>
                </c:pt>
                <c:pt idx="175">
                  <c:v>298050.5</c:v>
                </c:pt>
                <c:pt idx="176">
                  <c:v>298095.40000000002</c:v>
                </c:pt>
                <c:pt idx="177">
                  <c:v>298134.09999999998</c:v>
                </c:pt>
                <c:pt idx="178">
                  <c:v>298162.90000000002</c:v>
                </c:pt>
                <c:pt idx="179">
                  <c:v>298181.3</c:v>
                </c:pt>
                <c:pt idx="180">
                  <c:v>298191</c:v>
                </c:pt>
                <c:pt idx="181">
                  <c:v>298193.40000000002</c:v>
                </c:pt>
                <c:pt idx="182">
                  <c:v>298190.2</c:v>
                </c:pt>
                <c:pt idx="183">
                  <c:v>298183.3</c:v>
                </c:pt>
                <c:pt idx="184">
                  <c:v>298174.2</c:v>
                </c:pt>
                <c:pt idx="185">
                  <c:v>298164.09999999998</c:v>
                </c:pt>
                <c:pt idx="186">
                  <c:v>298154.09999999998</c:v>
                </c:pt>
                <c:pt idx="187">
                  <c:v>298144.8</c:v>
                </c:pt>
                <c:pt idx="188">
                  <c:v>298136.40000000002</c:v>
                </c:pt>
                <c:pt idx="189">
                  <c:v>298128.90000000002</c:v>
                </c:pt>
                <c:pt idx="190">
                  <c:v>298121.8</c:v>
                </c:pt>
                <c:pt idx="191">
                  <c:v>298114.5</c:v>
                </c:pt>
                <c:pt idx="192">
                  <c:v>298106.3</c:v>
                </c:pt>
                <c:pt idx="193">
                  <c:v>298096.59999999998</c:v>
                </c:pt>
                <c:pt idx="194">
                  <c:v>298084.7</c:v>
                </c:pt>
                <c:pt idx="195">
                  <c:v>298070.2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EBA-4372-A091-21E8DA4564FA}"/>
            </c:ext>
          </c:extLst>
        </c:ser>
        <c:ser>
          <c:idx val="5"/>
          <c:order val="4"/>
          <c:tx>
            <c:strRef>
              <c:f>variable_inlet!$T$4</c:f>
              <c:strCache>
                <c:ptCount val="1"/>
                <c:pt idx="0">
                  <c:v>total U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variable_inlet!$P$6:$P$200</c:f>
              <c:numCache>
                <c:formatCode>General</c:formatCode>
                <c:ptCount val="195"/>
                <c:pt idx="0">
                  <c:v>2.7779999999999998E-4</c:v>
                </c:pt>
                <c:pt idx="1">
                  <c:v>5.5559999999999995E-4</c:v>
                </c:pt>
                <c:pt idx="2">
                  <c:v>8.3339989999999995E-4</c:v>
                </c:pt>
                <c:pt idx="3">
                  <c:v>1.1111999999999999E-3</c:v>
                </c:pt>
                <c:pt idx="4">
                  <c:v>1.389E-3</c:v>
                </c:pt>
                <c:pt idx="5">
                  <c:v>1.6668E-3</c:v>
                </c:pt>
                <c:pt idx="6">
                  <c:v>1.9446000000000001E-3</c:v>
                </c:pt>
                <c:pt idx="7">
                  <c:v>2.2223999999999998E-3</c:v>
                </c:pt>
                <c:pt idx="8">
                  <c:v>2.5002000000000002E-3</c:v>
                </c:pt>
                <c:pt idx="9">
                  <c:v>2.7780000000000001E-3</c:v>
                </c:pt>
                <c:pt idx="10">
                  <c:v>3.0558E-3</c:v>
                </c:pt>
                <c:pt idx="11">
                  <c:v>3.3335999999999999E-3</c:v>
                </c:pt>
                <c:pt idx="12">
                  <c:v>3.6113999999999999E-3</c:v>
                </c:pt>
                <c:pt idx="13">
                  <c:v>3.8892000000000002E-3</c:v>
                </c:pt>
                <c:pt idx="14">
                  <c:v>4.1669999999999997E-3</c:v>
                </c:pt>
                <c:pt idx="15">
                  <c:v>4.4447999999999996E-3</c:v>
                </c:pt>
                <c:pt idx="16">
                  <c:v>4.7226000000000004E-3</c:v>
                </c:pt>
                <c:pt idx="17">
                  <c:v>5.0004000000000003E-3</c:v>
                </c:pt>
                <c:pt idx="18">
                  <c:v>5.2782000000000003E-3</c:v>
                </c:pt>
                <c:pt idx="19">
                  <c:v>5.5560000000000002E-3</c:v>
                </c:pt>
                <c:pt idx="20">
                  <c:v>5.8338000000000001E-3</c:v>
                </c:pt>
                <c:pt idx="21">
                  <c:v>6.1116E-3</c:v>
                </c:pt>
                <c:pt idx="22">
                  <c:v>6.3893999999999999E-3</c:v>
                </c:pt>
                <c:pt idx="23">
                  <c:v>6.6671999999999999E-3</c:v>
                </c:pt>
                <c:pt idx="24">
                  <c:v>6.9449999999999998E-3</c:v>
                </c:pt>
                <c:pt idx="25">
                  <c:v>7.2227999999999997E-3</c:v>
                </c:pt>
                <c:pt idx="26">
                  <c:v>7.5005999999999996E-3</c:v>
                </c:pt>
                <c:pt idx="27">
                  <c:v>7.7784000000000004E-3</c:v>
                </c:pt>
                <c:pt idx="28">
                  <c:v>8.0561999999999995E-3</c:v>
                </c:pt>
                <c:pt idx="29">
                  <c:v>8.3339999999999994E-3</c:v>
                </c:pt>
                <c:pt idx="30">
                  <c:v>8.6117999999999993E-3</c:v>
                </c:pt>
                <c:pt idx="31">
                  <c:v>8.8895999999999992E-3</c:v>
                </c:pt>
                <c:pt idx="32">
                  <c:v>9.1673989999999997E-3</c:v>
                </c:pt>
                <c:pt idx="33">
                  <c:v>9.4452000000000008E-3</c:v>
                </c:pt>
                <c:pt idx="34">
                  <c:v>9.7229989999999995E-3</c:v>
                </c:pt>
                <c:pt idx="35">
                  <c:v>1.0000800000000001E-2</c:v>
                </c:pt>
                <c:pt idx="36">
                  <c:v>1.0278600000000001E-2</c:v>
                </c:pt>
                <c:pt idx="37">
                  <c:v>1.0556400000000001E-2</c:v>
                </c:pt>
                <c:pt idx="38">
                  <c:v>1.08342E-2</c:v>
                </c:pt>
                <c:pt idx="39">
                  <c:v>1.1112E-2</c:v>
                </c:pt>
                <c:pt idx="40">
                  <c:v>1.13898E-2</c:v>
                </c:pt>
                <c:pt idx="41">
                  <c:v>1.16676E-2</c:v>
                </c:pt>
                <c:pt idx="42">
                  <c:v>1.19454E-2</c:v>
                </c:pt>
                <c:pt idx="43">
                  <c:v>1.22232E-2</c:v>
                </c:pt>
                <c:pt idx="44">
                  <c:v>1.2501E-2</c:v>
                </c:pt>
                <c:pt idx="45">
                  <c:v>1.27788E-2</c:v>
                </c:pt>
                <c:pt idx="46">
                  <c:v>1.30566E-2</c:v>
                </c:pt>
                <c:pt idx="47">
                  <c:v>1.33344E-2</c:v>
                </c:pt>
                <c:pt idx="48">
                  <c:v>1.36122E-2</c:v>
                </c:pt>
                <c:pt idx="49">
                  <c:v>1.389E-2</c:v>
                </c:pt>
                <c:pt idx="50">
                  <c:v>1.4167799999999999E-2</c:v>
                </c:pt>
                <c:pt idx="51">
                  <c:v>1.4445599999999999E-2</c:v>
                </c:pt>
                <c:pt idx="52">
                  <c:v>1.4723399999999999E-2</c:v>
                </c:pt>
                <c:pt idx="53">
                  <c:v>1.5001199999999999E-2</c:v>
                </c:pt>
                <c:pt idx="54">
                  <c:v>1.5278999999999999E-2</c:v>
                </c:pt>
                <c:pt idx="55">
                  <c:v>1.5556800000000001E-2</c:v>
                </c:pt>
                <c:pt idx="56">
                  <c:v>1.5834600000000001E-2</c:v>
                </c:pt>
                <c:pt idx="57">
                  <c:v>1.6112399999999999E-2</c:v>
                </c:pt>
                <c:pt idx="58">
                  <c:v>1.6390200000000001E-2</c:v>
                </c:pt>
                <c:pt idx="59">
                  <c:v>1.6667999999999999E-2</c:v>
                </c:pt>
                <c:pt idx="60">
                  <c:v>1.69458E-2</c:v>
                </c:pt>
                <c:pt idx="61">
                  <c:v>1.7223599999999999E-2</c:v>
                </c:pt>
                <c:pt idx="62">
                  <c:v>1.75014E-2</c:v>
                </c:pt>
                <c:pt idx="63">
                  <c:v>1.7779199999999998E-2</c:v>
                </c:pt>
                <c:pt idx="64">
                  <c:v>1.8057E-2</c:v>
                </c:pt>
                <c:pt idx="65">
                  <c:v>1.8334799999999998E-2</c:v>
                </c:pt>
                <c:pt idx="66">
                  <c:v>1.86126E-2</c:v>
                </c:pt>
                <c:pt idx="67">
                  <c:v>1.8890400000000002E-2</c:v>
                </c:pt>
                <c:pt idx="68">
                  <c:v>1.91682E-2</c:v>
                </c:pt>
                <c:pt idx="69">
                  <c:v>1.9446000000000001E-2</c:v>
                </c:pt>
                <c:pt idx="70">
                  <c:v>1.97238E-2</c:v>
                </c:pt>
                <c:pt idx="71">
                  <c:v>2.0001600000000001E-2</c:v>
                </c:pt>
                <c:pt idx="72">
                  <c:v>2.02794E-2</c:v>
                </c:pt>
                <c:pt idx="73">
                  <c:v>2.0557200000000001E-2</c:v>
                </c:pt>
                <c:pt idx="74">
                  <c:v>2.0834999999999999E-2</c:v>
                </c:pt>
                <c:pt idx="75">
                  <c:v>2.1112800000000001E-2</c:v>
                </c:pt>
                <c:pt idx="76">
                  <c:v>2.1390599999999999E-2</c:v>
                </c:pt>
                <c:pt idx="77">
                  <c:v>2.1668400000000001E-2</c:v>
                </c:pt>
                <c:pt idx="78">
                  <c:v>2.1946199999999999E-2</c:v>
                </c:pt>
                <c:pt idx="79">
                  <c:v>2.2224000000000001E-2</c:v>
                </c:pt>
                <c:pt idx="80">
                  <c:v>2.2501799999999999E-2</c:v>
                </c:pt>
                <c:pt idx="81">
                  <c:v>2.2779600000000001E-2</c:v>
                </c:pt>
                <c:pt idx="82">
                  <c:v>2.3057399999999999E-2</c:v>
                </c:pt>
                <c:pt idx="83">
                  <c:v>2.33352E-2</c:v>
                </c:pt>
                <c:pt idx="84">
                  <c:v>2.3612999999999999E-2</c:v>
                </c:pt>
                <c:pt idx="85">
                  <c:v>2.38908E-2</c:v>
                </c:pt>
                <c:pt idx="86">
                  <c:v>2.4168599999999998E-2</c:v>
                </c:pt>
                <c:pt idx="87">
                  <c:v>2.44464E-2</c:v>
                </c:pt>
                <c:pt idx="88">
                  <c:v>2.4724200000000002E-2</c:v>
                </c:pt>
                <c:pt idx="89">
                  <c:v>2.5002E-2</c:v>
                </c:pt>
                <c:pt idx="90">
                  <c:v>2.5279800000000002E-2</c:v>
                </c:pt>
                <c:pt idx="91">
                  <c:v>2.55576E-2</c:v>
                </c:pt>
                <c:pt idx="92">
                  <c:v>2.5835400000000001E-2</c:v>
                </c:pt>
                <c:pt idx="93">
                  <c:v>2.61132E-2</c:v>
                </c:pt>
                <c:pt idx="94">
                  <c:v>2.6391000000000001E-2</c:v>
                </c:pt>
                <c:pt idx="95">
                  <c:v>2.6668799999999999E-2</c:v>
                </c:pt>
                <c:pt idx="96">
                  <c:v>2.6946600000000001E-2</c:v>
                </c:pt>
                <c:pt idx="97">
                  <c:v>2.7224399999999999E-2</c:v>
                </c:pt>
                <c:pt idx="98">
                  <c:v>2.7502200000000001E-2</c:v>
                </c:pt>
                <c:pt idx="99">
                  <c:v>2.7779999999999999E-2</c:v>
                </c:pt>
                <c:pt idx="100">
                  <c:v>2.8057800000000001E-2</c:v>
                </c:pt>
                <c:pt idx="101">
                  <c:v>2.8335599999999999E-2</c:v>
                </c:pt>
                <c:pt idx="102">
                  <c:v>2.8613400000000001E-2</c:v>
                </c:pt>
                <c:pt idx="103">
                  <c:v>2.8891199999999999E-2</c:v>
                </c:pt>
                <c:pt idx="104">
                  <c:v>2.9169E-2</c:v>
                </c:pt>
                <c:pt idx="105">
                  <c:v>2.9446799999999999E-2</c:v>
                </c:pt>
                <c:pt idx="106">
                  <c:v>2.97246E-2</c:v>
                </c:pt>
                <c:pt idx="107">
                  <c:v>3.0002399999999999E-2</c:v>
                </c:pt>
                <c:pt idx="108">
                  <c:v>3.02802E-2</c:v>
                </c:pt>
                <c:pt idx="109">
                  <c:v>3.0557999999999998E-2</c:v>
                </c:pt>
                <c:pt idx="110">
                  <c:v>3.08358E-2</c:v>
                </c:pt>
                <c:pt idx="111">
                  <c:v>3.1113600000000002E-2</c:v>
                </c:pt>
                <c:pt idx="112">
                  <c:v>3.13914E-2</c:v>
                </c:pt>
                <c:pt idx="113">
                  <c:v>3.1669200000000002E-2</c:v>
                </c:pt>
                <c:pt idx="114">
                  <c:v>3.1947000000000003E-2</c:v>
                </c:pt>
                <c:pt idx="115">
                  <c:v>3.2224799999999998E-2</c:v>
                </c:pt>
                <c:pt idx="116">
                  <c:v>3.25026E-2</c:v>
                </c:pt>
                <c:pt idx="117">
                  <c:v>3.2780400000000001E-2</c:v>
                </c:pt>
                <c:pt idx="118">
                  <c:v>3.3058200000000003E-2</c:v>
                </c:pt>
                <c:pt idx="119">
                  <c:v>3.3335999999999998E-2</c:v>
                </c:pt>
                <c:pt idx="120">
                  <c:v>3.3613799999999999E-2</c:v>
                </c:pt>
                <c:pt idx="121">
                  <c:v>3.3891600000000001E-2</c:v>
                </c:pt>
                <c:pt idx="122">
                  <c:v>3.4169400000000003E-2</c:v>
                </c:pt>
                <c:pt idx="123">
                  <c:v>3.4447199999999997E-2</c:v>
                </c:pt>
                <c:pt idx="124">
                  <c:v>3.4724999999999999E-2</c:v>
                </c:pt>
                <c:pt idx="125">
                  <c:v>3.5002800000000001E-2</c:v>
                </c:pt>
                <c:pt idx="126">
                  <c:v>3.5280600000000002E-2</c:v>
                </c:pt>
                <c:pt idx="127">
                  <c:v>3.5558399999999997E-2</c:v>
                </c:pt>
                <c:pt idx="128">
                  <c:v>3.5836199999999999E-2</c:v>
                </c:pt>
                <c:pt idx="129">
                  <c:v>3.6114E-2</c:v>
                </c:pt>
                <c:pt idx="130">
                  <c:v>3.6391800000000002E-2</c:v>
                </c:pt>
                <c:pt idx="131">
                  <c:v>3.6669599999999997E-2</c:v>
                </c:pt>
                <c:pt idx="132">
                  <c:v>3.6947399999999998E-2</c:v>
                </c:pt>
                <c:pt idx="133">
                  <c:v>3.72252E-2</c:v>
                </c:pt>
                <c:pt idx="134">
                  <c:v>3.7503000000000002E-2</c:v>
                </c:pt>
                <c:pt idx="135">
                  <c:v>3.7780800000000003E-2</c:v>
                </c:pt>
                <c:pt idx="136">
                  <c:v>3.8058599999999998E-2</c:v>
                </c:pt>
                <c:pt idx="137">
                  <c:v>3.83364E-2</c:v>
                </c:pt>
                <c:pt idx="138">
                  <c:v>3.8614200000000001E-2</c:v>
                </c:pt>
                <c:pt idx="139">
                  <c:v>3.8892000000000003E-2</c:v>
                </c:pt>
                <c:pt idx="140">
                  <c:v>3.9169799999999998E-2</c:v>
                </c:pt>
                <c:pt idx="141">
                  <c:v>3.9447599999999999E-2</c:v>
                </c:pt>
                <c:pt idx="142">
                  <c:v>3.9725400000000001E-2</c:v>
                </c:pt>
                <c:pt idx="143">
                  <c:v>4.0003200000000003E-2</c:v>
                </c:pt>
                <c:pt idx="144">
                  <c:v>4.0280999999999997E-2</c:v>
                </c:pt>
                <c:pt idx="145">
                  <c:v>4.0558799999999999E-2</c:v>
                </c:pt>
                <c:pt idx="146">
                  <c:v>4.0836600000000001E-2</c:v>
                </c:pt>
                <c:pt idx="147">
                  <c:v>4.1114400000000002E-2</c:v>
                </c:pt>
                <c:pt idx="148">
                  <c:v>4.1392199999999997E-2</c:v>
                </c:pt>
                <c:pt idx="149">
                  <c:v>4.1669999999999999E-2</c:v>
                </c:pt>
                <c:pt idx="150">
                  <c:v>4.19478E-2</c:v>
                </c:pt>
                <c:pt idx="151">
                  <c:v>4.2225600000000002E-2</c:v>
                </c:pt>
                <c:pt idx="152">
                  <c:v>4.2503399999999997E-2</c:v>
                </c:pt>
                <c:pt idx="153">
                  <c:v>4.2781199999999998E-2</c:v>
                </c:pt>
                <c:pt idx="154">
                  <c:v>4.3059E-2</c:v>
                </c:pt>
                <c:pt idx="155">
                  <c:v>4.3336800000000002E-2</c:v>
                </c:pt>
                <c:pt idx="156">
                  <c:v>4.3614600000000003E-2</c:v>
                </c:pt>
                <c:pt idx="157">
                  <c:v>4.3892399999999998E-2</c:v>
                </c:pt>
                <c:pt idx="158">
                  <c:v>4.41702E-2</c:v>
                </c:pt>
                <c:pt idx="159">
                  <c:v>4.4448000000000001E-2</c:v>
                </c:pt>
                <c:pt idx="160">
                  <c:v>4.4725800000000003E-2</c:v>
                </c:pt>
                <c:pt idx="161">
                  <c:v>4.5003599999999998E-2</c:v>
                </c:pt>
                <c:pt idx="162">
                  <c:v>4.5281399999999999E-2</c:v>
                </c:pt>
                <c:pt idx="163">
                  <c:v>4.5559200000000001E-2</c:v>
                </c:pt>
                <c:pt idx="164">
                  <c:v>4.5837000000000003E-2</c:v>
                </c:pt>
                <c:pt idx="165">
                  <c:v>4.6114799999999997E-2</c:v>
                </c:pt>
                <c:pt idx="166">
                  <c:v>4.6392599999999999E-2</c:v>
                </c:pt>
                <c:pt idx="167">
                  <c:v>4.6670400000000001E-2</c:v>
                </c:pt>
                <c:pt idx="168">
                  <c:v>4.6948200000000002E-2</c:v>
                </c:pt>
                <c:pt idx="169">
                  <c:v>4.7225999999999997E-2</c:v>
                </c:pt>
                <c:pt idx="170">
                  <c:v>4.7503799999999999E-2</c:v>
                </c:pt>
                <c:pt idx="171">
                  <c:v>4.77816E-2</c:v>
                </c:pt>
                <c:pt idx="172">
                  <c:v>4.8059400000000002E-2</c:v>
                </c:pt>
                <c:pt idx="173">
                  <c:v>4.8337199999999997E-2</c:v>
                </c:pt>
                <c:pt idx="174">
                  <c:v>4.8614999999999998E-2</c:v>
                </c:pt>
                <c:pt idx="175">
                  <c:v>4.88928E-2</c:v>
                </c:pt>
                <c:pt idx="176">
                  <c:v>4.9170600000000002E-2</c:v>
                </c:pt>
                <c:pt idx="177">
                  <c:v>4.9448400000000003E-2</c:v>
                </c:pt>
                <c:pt idx="178">
                  <c:v>4.9726199999999998E-2</c:v>
                </c:pt>
                <c:pt idx="179">
                  <c:v>5.0004E-2</c:v>
                </c:pt>
                <c:pt idx="180">
                  <c:v>5.0281800000000001E-2</c:v>
                </c:pt>
                <c:pt idx="181">
                  <c:v>5.0559600000000003E-2</c:v>
                </c:pt>
                <c:pt idx="182">
                  <c:v>5.0837399999999998E-2</c:v>
                </c:pt>
                <c:pt idx="183">
                  <c:v>5.11152E-2</c:v>
                </c:pt>
                <c:pt idx="184">
                  <c:v>5.1393000000000001E-2</c:v>
                </c:pt>
                <c:pt idx="185">
                  <c:v>5.1670800000000003E-2</c:v>
                </c:pt>
                <c:pt idx="186">
                  <c:v>5.1948599999999998E-2</c:v>
                </c:pt>
                <c:pt idx="187">
                  <c:v>5.2226399999999999E-2</c:v>
                </c:pt>
                <c:pt idx="188">
                  <c:v>5.2504200000000001E-2</c:v>
                </c:pt>
                <c:pt idx="189">
                  <c:v>5.2782000000000003E-2</c:v>
                </c:pt>
                <c:pt idx="190">
                  <c:v>5.3059799999999997E-2</c:v>
                </c:pt>
                <c:pt idx="191">
                  <c:v>5.3337599999999999E-2</c:v>
                </c:pt>
                <c:pt idx="192">
                  <c:v>5.3615400000000001E-2</c:v>
                </c:pt>
                <c:pt idx="193">
                  <c:v>5.3893200000000002E-2</c:v>
                </c:pt>
                <c:pt idx="194">
                  <c:v>5.4170999999999997E-2</c:v>
                </c:pt>
              </c:numCache>
            </c:numRef>
          </c:xVal>
          <c:yVal>
            <c:numRef>
              <c:f>variable_inlet!$T$6:$T$200</c:f>
              <c:numCache>
                <c:formatCode>General</c:formatCode>
                <c:ptCount val="195"/>
                <c:pt idx="0">
                  <c:v>331807.31700000004</c:v>
                </c:pt>
                <c:pt idx="1">
                  <c:v>335283.26299999998</c:v>
                </c:pt>
                <c:pt idx="2">
                  <c:v>338414.82500000001</c:v>
                </c:pt>
                <c:pt idx="3">
                  <c:v>340520.18099999998</c:v>
                </c:pt>
                <c:pt idx="4">
                  <c:v>341681.43599999999</c:v>
                </c:pt>
                <c:pt idx="5">
                  <c:v>341478.20199999999</c:v>
                </c:pt>
                <c:pt idx="6">
                  <c:v>340943.69400000002</c:v>
                </c:pt>
                <c:pt idx="7">
                  <c:v>341683.98100000003</c:v>
                </c:pt>
                <c:pt idx="8">
                  <c:v>343172.17</c:v>
                </c:pt>
                <c:pt idx="9">
                  <c:v>344397.08999999997</c:v>
                </c:pt>
                <c:pt idx="10">
                  <c:v>345127.96</c:v>
                </c:pt>
                <c:pt idx="11">
                  <c:v>345702.32</c:v>
                </c:pt>
                <c:pt idx="12">
                  <c:v>346381.05</c:v>
                </c:pt>
                <c:pt idx="13">
                  <c:v>347151.1</c:v>
                </c:pt>
                <c:pt idx="14">
                  <c:v>347484.23000000004</c:v>
                </c:pt>
                <c:pt idx="15">
                  <c:v>347910.5</c:v>
                </c:pt>
                <c:pt idx="16">
                  <c:v>348815.20999999996</c:v>
                </c:pt>
                <c:pt idx="17">
                  <c:v>349788.23000000004</c:v>
                </c:pt>
                <c:pt idx="18">
                  <c:v>349519.93</c:v>
                </c:pt>
                <c:pt idx="19">
                  <c:v>347394.15899999999</c:v>
                </c:pt>
                <c:pt idx="20">
                  <c:v>344023.109</c:v>
                </c:pt>
                <c:pt idx="21">
                  <c:v>339461.76199999999</c:v>
                </c:pt>
                <c:pt idx="22">
                  <c:v>334302.93199999997</c:v>
                </c:pt>
                <c:pt idx="23">
                  <c:v>328569.15599999996</c:v>
                </c:pt>
                <c:pt idx="24">
                  <c:v>321809.78899999999</c:v>
                </c:pt>
                <c:pt idx="25">
                  <c:v>320074.11500000005</c:v>
                </c:pt>
                <c:pt idx="26">
                  <c:v>321537.94699999999</c:v>
                </c:pt>
                <c:pt idx="27">
                  <c:v>322394.95</c:v>
                </c:pt>
                <c:pt idx="28">
                  <c:v>323714.46519999998</c:v>
                </c:pt>
                <c:pt idx="29">
                  <c:v>325375.93400000001</c:v>
                </c:pt>
                <c:pt idx="30">
                  <c:v>327257.74969999999</c:v>
                </c:pt>
                <c:pt idx="31">
                  <c:v>328508.68590000004</c:v>
                </c:pt>
                <c:pt idx="32">
                  <c:v>328718.14649999997</c:v>
                </c:pt>
                <c:pt idx="33">
                  <c:v>328101.24349999998</c:v>
                </c:pt>
                <c:pt idx="34">
                  <c:v>326952.18310000002</c:v>
                </c:pt>
                <c:pt idx="35">
                  <c:v>325734.42849999998</c:v>
                </c:pt>
                <c:pt idx="36">
                  <c:v>324664.80089999997</c:v>
                </c:pt>
                <c:pt idx="37">
                  <c:v>323756.59817000001</c:v>
                </c:pt>
                <c:pt idx="38">
                  <c:v>323020.77681000001</c:v>
                </c:pt>
                <c:pt idx="39">
                  <c:v>322486.47664999997</c:v>
                </c:pt>
                <c:pt idx="40">
                  <c:v>322154.20741999999</c:v>
                </c:pt>
                <c:pt idx="41">
                  <c:v>321963.42121</c:v>
                </c:pt>
                <c:pt idx="42">
                  <c:v>321819.28081000003</c:v>
                </c:pt>
                <c:pt idx="43">
                  <c:v>321580.11738999997</c:v>
                </c:pt>
                <c:pt idx="44">
                  <c:v>321022.19689000002</c:v>
                </c:pt>
                <c:pt idx="45">
                  <c:v>320106.42829000001</c:v>
                </c:pt>
                <c:pt idx="46">
                  <c:v>319227.82089999999</c:v>
                </c:pt>
                <c:pt idx="47">
                  <c:v>318712.74818</c:v>
                </c:pt>
                <c:pt idx="48">
                  <c:v>318449.21499999997</c:v>
                </c:pt>
                <c:pt idx="49">
                  <c:v>318444.24183000001</c:v>
                </c:pt>
                <c:pt idx="50">
                  <c:v>318744.43230000004</c:v>
                </c:pt>
                <c:pt idx="51">
                  <c:v>319665.42</c:v>
                </c:pt>
                <c:pt idx="52">
                  <c:v>320836.43049999996</c:v>
                </c:pt>
                <c:pt idx="53">
                  <c:v>321578.58851999999</c:v>
                </c:pt>
                <c:pt idx="54">
                  <c:v>321866.47951000003</c:v>
                </c:pt>
                <c:pt idx="55">
                  <c:v>321986.47918000002</c:v>
                </c:pt>
                <c:pt idx="56">
                  <c:v>322021.75318999996</c:v>
                </c:pt>
                <c:pt idx="57">
                  <c:v>322053.72832399997</c:v>
                </c:pt>
                <c:pt idx="58">
                  <c:v>322099.77646999998</c:v>
                </c:pt>
                <c:pt idx="59">
                  <c:v>322179.96479</c:v>
                </c:pt>
                <c:pt idx="60">
                  <c:v>322389.78334000002</c:v>
                </c:pt>
                <c:pt idx="61">
                  <c:v>322994.39803000004</c:v>
                </c:pt>
                <c:pt idx="62">
                  <c:v>323924.80674000003</c:v>
                </c:pt>
                <c:pt idx="63">
                  <c:v>324455.90403000003</c:v>
                </c:pt>
                <c:pt idx="64">
                  <c:v>324653.32104999997</c:v>
                </c:pt>
                <c:pt idx="65">
                  <c:v>324671.76783999999</c:v>
                </c:pt>
                <c:pt idx="66">
                  <c:v>324579.57318000001</c:v>
                </c:pt>
                <c:pt idx="67">
                  <c:v>324398.76924999995</c:v>
                </c:pt>
                <c:pt idx="68">
                  <c:v>324154.95366</c:v>
                </c:pt>
                <c:pt idx="69">
                  <c:v>323892.76911000005</c:v>
                </c:pt>
                <c:pt idx="70">
                  <c:v>324389.22729999997</c:v>
                </c:pt>
                <c:pt idx="71">
                  <c:v>328146.71600000001</c:v>
                </c:pt>
                <c:pt idx="72">
                  <c:v>331955.90999999997</c:v>
                </c:pt>
                <c:pt idx="73">
                  <c:v>335395.842</c:v>
                </c:pt>
                <c:pt idx="74">
                  <c:v>338539.342</c:v>
                </c:pt>
                <c:pt idx="75">
                  <c:v>340712.647</c:v>
                </c:pt>
                <c:pt idx="76">
                  <c:v>341956.98499999999</c:v>
                </c:pt>
                <c:pt idx="77">
                  <c:v>341781.06700000004</c:v>
                </c:pt>
                <c:pt idx="78">
                  <c:v>341158.52799999999</c:v>
                </c:pt>
                <c:pt idx="79">
                  <c:v>341826.02100000001</c:v>
                </c:pt>
                <c:pt idx="80">
                  <c:v>343365.04</c:v>
                </c:pt>
                <c:pt idx="81">
                  <c:v>344672.38</c:v>
                </c:pt>
                <c:pt idx="82">
                  <c:v>345423.36000000004</c:v>
                </c:pt>
                <c:pt idx="83">
                  <c:v>345924.4</c:v>
                </c:pt>
                <c:pt idx="84">
                  <c:v>346470.84</c:v>
                </c:pt>
                <c:pt idx="85">
                  <c:v>347132.14</c:v>
                </c:pt>
                <c:pt idx="86">
                  <c:v>347438.85000000003</c:v>
                </c:pt>
                <c:pt idx="87">
                  <c:v>347803.48</c:v>
                </c:pt>
                <c:pt idx="88">
                  <c:v>348572.95999999996</c:v>
                </c:pt>
                <c:pt idx="89">
                  <c:v>349499.62</c:v>
                </c:pt>
                <c:pt idx="90">
                  <c:v>349307.58999999997</c:v>
                </c:pt>
                <c:pt idx="91">
                  <c:v>347245.038</c:v>
                </c:pt>
                <c:pt idx="92">
                  <c:v>343823.36900000001</c:v>
                </c:pt>
                <c:pt idx="93">
                  <c:v>339149.53499999997</c:v>
                </c:pt>
                <c:pt idx="94">
                  <c:v>333988.88500000001</c:v>
                </c:pt>
                <c:pt idx="95">
                  <c:v>328480.58399999997</c:v>
                </c:pt>
                <c:pt idx="96">
                  <c:v>322151.89899999998</c:v>
                </c:pt>
                <c:pt idx="97">
                  <c:v>320789.40100000001</c:v>
                </c:pt>
                <c:pt idx="98">
                  <c:v>322280.17300000001</c:v>
                </c:pt>
                <c:pt idx="99">
                  <c:v>322784.04930000001</c:v>
                </c:pt>
                <c:pt idx="100">
                  <c:v>323604.72440000001</c:v>
                </c:pt>
                <c:pt idx="101">
                  <c:v>324783.7206</c:v>
                </c:pt>
                <c:pt idx="102">
                  <c:v>326422.77779999998</c:v>
                </c:pt>
                <c:pt idx="103">
                  <c:v>327841.11339999997</c:v>
                </c:pt>
                <c:pt idx="104">
                  <c:v>328363.24410000001</c:v>
                </c:pt>
                <c:pt idx="105">
                  <c:v>328007.0906</c:v>
                </c:pt>
                <c:pt idx="106">
                  <c:v>327016.73</c:v>
                </c:pt>
                <c:pt idx="107">
                  <c:v>325805.34949999995</c:v>
                </c:pt>
                <c:pt idx="108">
                  <c:v>324713.01309999998</c:v>
                </c:pt>
                <c:pt idx="109">
                  <c:v>323806.83512999996</c:v>
                </c:pt>
                <c:pt idx="110">
                  <c:v>323097.39893999998</c:v>
                </c:pt>
                <c:pt idx="111">
                  <c:v>322594.88078999997</c:v>
                </c:pt>
                <c:pt idx="112">
                  <c:v>322285.05031999998</c:v>
                </c:pt>
                <c:pt idx="113">
                  <c:v>322103.69381000003</c:v>
                </c:pt>
                <c:pt idx="114">
                  <c:v>321955.53213000001</c:v>
                </c:pt>
                <c:pt idx="115">
                  <c:v>321699.74976999999</c:v>
                </c:pt>
                <c:pt idx="116">
                  <c:v>321151.24342000001</c:v>
                </c:pt>
                <c:pt idx="117">
                  <c:v>320288.00562999997</c:v>
                </c:pt>
                <c:pt idx="118">
                  <c:v>319445.29608</c:v>
                </c:pt>
                <c:pt idx="119">
                  <c:v>318930.03058000002</c:v>
                </c:pt>
                <c:pt idx="120">
                  <c:v>318656.28552000003</c:v>
                </c:pt>
                <c:pt idx="121">
                  <c:v>318616.95245000004</c:v>
                </c:pt>
                <c:pt idx="122">
                  <c:v>318811.25137999997</c:v>
                </c:pt>
                <c:pt idx="123">
                  <c:v>319513.43820999999</c:v>
                </c:pt>
                <c:pt idx="124">
                  <c:v>320595.45370000001</c:v>
                </c:pt>
                <c:pt idx="125">
                  <c:v>321462.1925</c:v>
                </c:pt>
                <c:pt idx="126">
                  <c:v>321898.64113</c:v>
                </c:pt>
                <c:pt idx="127">
                  <c:v>322099.06445000001</c:v>
                </c:pt>
                <c:pt idx="128">
                  <c:v>322209.07714000001</c:v>
                </c:pt>
                <c:pt idx="129">
                  <c:v>322293.16719399998</c:v>
                </c:pt>
                <c:pt idx="130">
                  <c:v>322392.37637499999</c:v>
                </c:pt>
                <c:pt idx="131">
                  <c:v>322549.58003000001</c:v>
                </c:pt>
                <c:pt idx="132">
                  <c:v>322888.11323999998</c:v>
                </c:pt>
                <c:pt idx="133">
                  <c:v>323617.25738999998</c:v>
                </c:pt>
                <c:pt idx="134">
                  <c:v>324360.93820999999</c:v>
                </c:pt>
                <c:pt idx="135">
                  <c:v>324718.74306000001</c:v>
                </c:pt>
                <c:pt idx="136">
                  <c:v>324824.52483000001</c:v>
                </c:pt>
                <c:pt idx="137">
                  <c:v>324774.46912999998</c:v>
                </c:pt>
                <c:pt idx="138">
                  <c:v>324615.73352000001</c:v>
                </c:pt>
                <c:pt idx="139">
                  <c:v>324372.92020000005</c:v>
                </c:pt>
                <c:pt idx="140">
                  <c:v>324096.70368999999</c:v>
                </c:pt>
                <c:pt idx="141">
                  <c:v>323834.23019999999</c:v>
                </c:pt>
                <c:pt idx="142">
                  <c:v>324355.38299999997</c:v>
                </c:pt>
                <c:pt idx="143">
                  <c:v>328143.68800000002</c:v>
                </c:pt>
                <c:pt idx="144">
                  <c:v>331950.24</c:v>
                </c:pt>
                <c:pt idx="145">
                  <c:v>335368.94199999998</c:v>
                </c:pt>
                <c:pt idx="146">
                  <c:v>338468.48499999999</c:v>
                </c:pt>
                <c:pt idx="147">
                  <c:v>340632.19299999997</c:v>
                </c:pt>
                <c:pt idx="148">
                  <c:v>341932.91600000003</c:v>
                </c:pt>
                <c:pt idx="149">
                  <c:v>341832.43600000005</c:v>
                </c:pt>
                <c:pt idx="150">
                  <c:v>341222.49800000002</c:v>
                </c:pt>
                <c:pt idx="151">
                  <c:v>341833.864</c:v>
                </c:pt>
                <c:pt idx="152">
                  <c:v>343286.07999999996</c:v>
                </c:pt>
                <c:pt idx="153">
                  <c:v>344482.66</c:v>
                </c:pt>
                <c:pt idx="154">
                  <c:v>345127.39</c:v>
                </c:pt>
                <c:pt idx="155">
                  <c:v>345605.05000000005</c:v>
                </c:pt>
                <c:pt idx="156">
                  <c:v>346224</c:v>
                </c:pt>
                <c:pt idx="157">
                  <c:v>346987.66</c:v>
                </c:pt>
                <c:pt idx="158">
                  <c:v>347384.05</c:v>
                </c:pt>
                <c:pt idx="159">
                  <c:v>347888.89999999997</c:v>
                </c:pt>
                <c:pt idx="160">
                  <c:v>348857.56</c:v>
                </c:pt>
                <c:pt idx="161">
                  <c:v>349886.27999999997</c:v>
                </c:pt>
                <c:pt idx="162">
                  <c:v>349628.70999999996</c:v>
                </c:pt>
                <c:pt idx="163">
                  <c:v>347461.58399999997</c:v>
                </c:pt>
                <c:pt idx="164">
                  <c:v>344029.685</c:v>
                </c:pt>
                <c:pt idx="165">
                  <c:v>339412.46799999999</c:v>
                </c:pt>
                <c:pt idx="166">
                  <c:v>334271.78499999997</c:v>
                </c:pt>
                <c:pt idx="167">
                  <c:v>328710.58500000002</c:v>
                </c:pt>
                <c:pt idx="168">
                  <c:v>322254.96400000004</c:v>
                </c:pt>
                <c:pt idx="169">
                  <c:v>320685.391</c:v>
                </c:pt>
                <c:pt idx="170">
                  <c:v>322039.897</c:v>
                </c:pt>
                <c:pt idx="171">
                  <c:v>322660.56910000002</c:v>
                </c:pt>
                <c:pt idx="172">
                  <c:v>323857.66640000005</c:v>
                </c:pt>
                <c:pt idx="173">
                  <c:v>325567.69589999999</c:v>
                </c:pt>
                <c:pt idx="174">
                  <c:v>327579.31779999996</c:v>
                </c:pt>
                <c:pt idx="175">
                  <c:v>328872.9607</c:v>
                </c:pt>
                <c:pt idx="176">
                  <c:v>329029.63949999999</c:v>
                </c:pt>
                <c:pt idx="177">
                  <c:v>328305.5577</c:v>
                </c:pt>
                <c:pt idx="178">
                  <c:v>327036.19789999997</c:v>
                </c:pt>
                <c:pt idx="179">
                  <c:v>325736.75549999997</c:v>
                </c:pt>
                <c:pt idx="180">
                  <c:v>324623.38420000003</c:v>
                </c:pt>
                <c:pt idx="181">
                  <c:v>323722.98462999996</c:v>
                </c:pt>
                <c:pt idx="182">
                  <c:v>323057.79520000005</c:v>
                </c:pt>
                <c:pt idx="183">
                  <c:v>322641.79876999999</c:v>
                </c:pt>
                <c:pt idx="184">
                  <c:v>322431.56580000004</c:v>
                </c:pt>
                <c:pt idx="185">
                  <c:v>322366.77981000004</c:v>
                </c:pt>
                <c:pt idx="186">
                  <c:v>322406.15810400003</c:v>
                </c:pt>
                <c:pt idx="187">
                  <c:v>322478.60817999998</c:v>
                </c:pt>
                <c:pt idx="188">
                  <c:v>322372.82627000002</c:v>
                </c:pt>
                <c:pt idx="189">
                  <c:v>321710.61862999998</c:v>
                </c:pt>
                <c:pt idx="190">
                  <c:v>320544.64679999999</c:v>
                </c:pt>
                <c:pt idx="191">
                  <c:v>319534.62439000001</c:v>
                </c:pt>
                <c:pt idx="192">
                  <c:v>318980.49926000001</c:v>
                </c:pt>
                <c:pt idx="193">
                  <c:v>318732.31251000002</c:v>
                </c:pt>
                <c:pt idx="194">
                  <c:v>318771.96768999996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EBA-4372-A091-21E8DA4564FA}"/>
            </c:ext>
          </c:extLst>
        </c:ser>
        <c:ser>
          <c:idx val="6"/>
          <c:order val="5"/>
          <c:tx>
            <c:strRef>
              <c:f>variable_inlet!$U$4</c:f>
              <c:strCache>
                <c:ptCount val="1"/>
                <c:pt idx="0">
                  <c:v>total U_2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variable_inlet!$P$6:$P$200</c:f>
              <c:numCache>
                <c:formatCode>General</c:formatCode>
                <c:ptCount val="195"/>
                <c:pt idx="0">
                  <c:v>2.7779999999999998E-4</c:v>
                </c:pt>
                <c:pt idx="1">
                  <c:v>5.5559999999999995E-4</c:v>
                </c:pt>
                <c:pt idx="2">
                  <c:v>8.3339989999999995E-4</c:v>
                </c:pt>
                <c:pt idx="3">
                  <c:v>1.1111999999999999E-3</c:v>
                </c:pt>
                <c:pt idx="4">
                  <c:v>1.389E-3</c:v>
                </c:pt>
                <c:pt idx="5">
                  <c:v>1.6668E-3</c:v>
                </c:pt>
                <c:pt idx="6">
                  <c:v>1.9446000000000001E-3</c:v>
                </c:pt>
                <c:pt idx="7">
                  <c:v>2.2223999999999998E-3</c:v>
                </c:pt>
                <c:pt idx="8">
                  <c:v>2.5002000000000002E-3</c:v>
                </c:pt>
                <c:pt idx="9">
                  <c:v>2.7780000000000001E-3</c:v>
                </c:pt>
                <c:pt idx="10">
                  <c:v>3.0558E-3</c:v>
                </c:pt>
                <c:pt idx="11">
                  <c:v>3.3335999999999999E-3</c:v>
                </c:pt>
                <c:pt idx="12">
                  <c:v>3.6113999999999999E-3</c:v>
                </c:pt>
                <c:pt idx="13">
                  <c:v>3.8892000000000002E-3</c:v>
                </c:pt>
                <c:pt idx="14">
                  <c:v>4.1669999999999997E-3</c:v>
                </c:pt>
                <c:pt idx="15">
                  <c:v>4.4447999999999996E-3</c:v>
                </c:pt>
                <c:pt idx="16">
                  <c:v>4.7226000000000004E-3</c:v>
                </c:pt>
                <c:pt idx="17">
                  <c:v>5.0004000000000003E-3</c:v>
                </c:pt>
                <c:pt idx="18">
                  <c:v>5.2782000000000003E-3</c:v>
                </c:pt>
                <c:pt idx="19">
                  <c:v>5.5560000000000002E-3</c:v>
                </c:pt>
                <c:pt idx="20">
                  <c:v>5.8338000000000001E-3</c:v>
                </c:pt>
                <c:pt idx="21">
                  <c:v>6.1116E-3</c:v>
                </c:pt>
                <c:pt idx="22">
                  <c:v>6.3893999999999999E-3</c:v>
                </c:pt>
                <c:pt idx="23">
                  <c:v>6.6671999999999999E-3</c:v>
                </c:pt>
                <c:pt idx="24">
                  <c:v>6.9449999999999998E-3</c:v>
                </c:pt>
                <c:pt idx="25">
                  <c:v>7.2227999999999997E-3</c:v>
                </c:pt>
                <c:pt idx="26">
                  <c:v>7.5005999999999996E-3</c:v>
                </c:pt>
                <c:pt idx="27">
                  <c:v>7.7784000000000004E-3</c:v>
                </c:pt>
                <c:pt idx="28">
                  <c:v>8.0561999999999995E-3</c:v>
                </c:pt>
                <c:pt idx="29">
                  <c:v>8.3339999999999994E-3</c:v>
                </c:pt>
                <c:pt idx="30">
                  <c:v>8.6117999999999993E-3</c:v>
                </c:pt>
                <c:pt idx="31">
                  <c:v>8.8895999999999992E-3</c:v>
                </c:pt>
                <c:pt idx="32">
                  <c:v>9.1673989999999997E-3</c:v>
                </c:pt>
                <c:pt idx="33">
                  <c:v>9.4452000000000008E-3</c:v>
                </c:pt>
                <c:pt idx="34">
                  <c:v>9.7229989999999995E-3</c:v>
                </c:pt>
                <c:pt idx="35">
                  <c:v>1.0000800000000001E-2</c:v>
                </c:pt>
                <c:pt idx="36">
                  <c:v>1.0278600000000001E-2</c:v>
                </c:pt>
                <c:pt idx="37">
                  <c:v>1.0556400000000001E-2</c:v>
                </c:pt>
                <c:pt idx="38">
                  <c:v>1.08342E-2</c:v>
                </c:pt>
                <c:pt idx="39">
                  <c:v>1.1112E-2</c:v>
                </c:pt>
                <c:pt idx="40">
                  <c:v>1.13898E-2</c:v>
                </c:pt>
                <c:pt idx="41">
                  <c:v>1.16676E-2</c:v>
                </c:pt>
                <c:pt idx="42">
                  <c:v>1.19454E-2</c:v>
                </c:pt>
                <c:pt idx="43">
                  <c:v>1.22232E-2</c:v>
                </c:pt>
                <c:pt idx="44">
                  <c:v>1.2501E-2</c:v>
                </c:pt>
                <c:pt idx="45">
                  <c:v>1.27788E-2</c:v>
                </c:pt>
                <c:pt idx="46">
                  <c:v>1.30566E-2</c:v>
                </c:pt>
                <c:pt idx="47">
                  <c:v>1.33344E-2</c:v>
                </c:pt>
                <c:pt idx="48">
                  <c:v>1.36122E-2</c:v>
                </c:pt>
                <c:pt idx="49">
                  <c:v>1.389E-2</c:v>
                </c:pt>
                <c:pt idx="50">
                  <c:v>1.4167799999999999E-2</c:v>
                </c:pt>
                <c:pt idx="51">
                  <c:v>1.4445599999999999E-2</c:v>
                </c:pt>
                <c:pt idx="52">
                  <c:v>1.4723399999999999E-2</c:v>
                </c:pt>
                <c:pt idx="53">
                  <c:v>1.5001199999999999E-2</c:v>
                </c:pt>
                <c:pt idx="54">
                  <c:v>1.5278999999999999E-2</c:v>
                </c:pt>
                <c:pt idx="55">
                  <c:v>1.5556800000000001E-2</c:v>
                </c:pt>
                <c:pt idx="56">
                  <c:v>1.5834600000000001E-2</c:v>
                </c:pt>
                <c:pt idx="57">
                  <c:v>1.6112399999999999E-2</c:v>
                </c:pt>
                <c:pt idx="58">
                  <c:v>1.6390200000000001E-2</c:v>
                </c:pt>
                <c:pt idx="59">
                  <c:v>1.6667999999999999E-2</c:v>
                </c:pt>
                <c:pt idx="60">
                  <c:v>1.69458E-2</c:v>
                </c:pt>
                <c:pt idx="61">
                  <c:v>1.7223599999999999E-2</c:v>
                </c:pt>
                <c:pt idx="62">
                  <c:v>1.75014E-2</c:v>
                </c:pt>
                <c:pt idx="63">
                  <c:v>1.7779199999999998E-2</c:v>
                </c:pt>
                <c:pt idx="64">
                  <c:v>1.8057E-2</c:v>
                </c:pt>
                <c:pt idx="65">
                  <c:v>1.8334799999999998E-2</c:v>
                </c:pt>
                <c:pt idx="66">
                  <c:v>1.86126E-2</c:v>
                </c:pt>
                <c:pt idx="67">
                  <c:v>1.8890400000000002E-2</c:v>
                </c:pt>
                <c:pt idx="68">
                  <c:v>1.91682E-2</c:v>
                </c:pt>
                <c:pt idx="69">
                  <c:v>1.9446000000000001E-2</c:v>
                </c:pt>
                <c:pt idx="70">
                  <c:v>1.97238E-2</c:v>
                </c:pt>
                <c:pt idx="71">
                  <c:v>2.0001600000000001E-2</c:v>
                </c:pt>
                <c:pt idx="72">
                  <c:v>2.02794E-2</c:v>
                </c:pt>
                <c:pt idx="73">
                  <c:v>2.0557200000000001E-2</c:v>
                </c:pt>
                <c:pt idx="74">
                  <c:v>2.0834999999999999E-2</c:v>
                </c:pt>
                <c:pt idx="75">
                  <c:v>2.1112800000000001E-2</c:v>
                </c:pt>
                <c:pt idx="76">
                  <c:v>2.1390599999999999E-2</c:v>
                </c:pt>
                <c:pt idx="77">
                  <c:v>2.1668400000000001E-2</c:v>
                </c:pt>
                <c:pt idx="78">
                  <c:v>2.1946199999999999E-2</c:v>
                </c:pt>
                <c:pt idx="79">
                  <c:v>2.2224000000000001E-2</c:v>
                </c:pt>
                <c:pt idx="80">
                  <c:v>2.2501799999999999E-2</c:v>
                </c:pt>
                <c:pt idx="81">
                  <c:v>2.2779600000000001E-2</c:v>
                </c:pt>
                <c:pt idx="82">
                  <c:v>2.3057399999999999E-2</c:v>
                </c:pt>
                <c:pt idx="83">
                  <c:v>2.33352E-2</c:v>
                </c:pt>
                <c:pt idx="84">
                  <c:v>2.3612999999999999E-2</c:v>
                </c:pt>
                <c:pt idx="85">
                  <c:v>2.38908E-2</c:v>
                </c:pt>
                <c:pt idx="86">
                  <c:v>2.4168599999999998E-2</c:v>
                </c:pt>
                <c:pt idx="87">
                  <c:v>2.44464E-2</c:v>
                </c:pt>
                <c:pt idx="88">
                  <c:v>2.4724200000000002E-2</c:v>
                </c:pt>
                <c:pt idx="89">
                  <c:v>2.5002E-2</c:v>
                </c:pt>
                <c:pt idx="90">
                  <c:v>2.5279800000000002E-2</c:v>
                </c:pt>
                <c:pt idx="91">
                  <c:v>2.55576E-2</c:v>
                </c:pt>
                <c:pt idx="92">
                  <c:v>2.5835400000000001E-2</c:v>
                </c:pt>
                <c:pt idx="93">
                  <c:v>2.61132E-2</c:v>
                </c:pt>
                <c:pt idx="94">
                  <c:v>2.6391000000000001E-2</c:v>
                </c:pt>
                <c:pt idx="95">
                  <c:v>2.6668799999999999E-2</c:v>
                </c:pt>
                <c:pt idx="96">
                  <c:v>2.6946600000000001E-2</c:v>
                </c:pt>
                <c:pt idx="97">
                  <c:v>2.7224399999999999E-2</c:v>
                </c:pt>
                <c:pt idx="98">
                  <c:v>2.7502200000000001E-2</c:v>
                </c:pt>
                <c:pt idx="99">
                  <c:v>2.7779999999999999E-2</c:v>
                </c:pt>
                <c:pt idx="100">
                  <c:v>2.8057800000000001E-2</c:v>
                </c:pt>
                <c:pt idx="101">
                  <c:v>2.8335599999999999E-2</c:v>
                </c:pt>
                <c:pt idx="102">
                  <c:v>2.8613400000000001E-2</c:v>
                </c:pt>
                <c:pt idx="103">
                  <c:v>2.8891199999999999E-2</c:v>
                </c:pt>
                <c:pt idx="104">
                  <c:v>2.9169E-2</c:v>
                </c:pt>
                <c:pt idx="105">
                  <c:v>2.9446799999999999E-2</c:v>
                </c:pt>
                <c:pt idx="106">
                  <c:v>2.97246E-2</c:v>
                </c:pt>
                <c:pt idx="107">
                  <c:v>3.0002399999999999E-2</c:v>
                </c:pt>
                <c:pt idx="108">
                  <c:v>3.02802E-2</c:v>
                </c:pt>
                <c:pt idx="109">
                  <c:v>3.0557999999999998E-2</c:v>
                </c:pt>
                <c:pt idx="110">
                  <c:v>3.08358E-2</c:v>
                </c:pt>
                <c:pt idx="111">
                  <c:v>3.1113600000000002E-2</c:v>
                </c:pt>
                <c:pt idx="112">
                  <c:v>3.13914E-2</c:v>
                </c:pt>
                <c:pt idx="113">
                  <c:v>3.1669200000000002E-2</c:v>
                </c:pt>
                <c:pt idx="114">
                  <c:v>3.1947000000000003E-2</c:v>
                </c:pt>
                <c:pt idx="115">
                  <c:v>3.2224799999999998E-2</c:v>
                </c:pt>
                <c:pt idx="116">
                  <c:v>3.25026E-2</c:v>
                </c:pt>
                <c:pt idx="117">
                  <c:v>3.2780400000000001E-2</c:v>
                </c:pt>
                <c:pt idx="118">
                  <c:v>3.3058200000000003E-2</c:v>
                </c:pt>
                <c:pt idx="119">
                  <c:v>3.3335999999999998E-2</c:v>
                </c:pt>
                <c:pt idx="120">
                  <c:v>3.3613799999999999E-2</c:v>
                </c:pt>
                <c:pt idx="121">
                  <c:v>3.3891600000000001E-2</c:v>
                </c:pt>
                <c:pt idx="122">
                  <c:v>3.4169400000000003E-2</c:v>
                </c:pt>
                <c:pt idx="123">
                  <c:v>3.4447199999999997E-2</c:v>
                </c:pt>
                <c:pt idx="124">
                  <c:v>3.4724999999999999E-2</c:v>
                </c:pt>
                <c:pt idx="125">
                  <c:v>3.5002800000000001E-2</c:v>
                </c:pt>
                <c:pt idx="126">
                  <c:v>3.5280600000000002E-2</c:v>
                </c:pt>
                <c:pt idx="127">
                  <c:v>3.5558399999999997E-2</c:v>
                </c:pt>
                <c:pt idx="128">
                  <c:v>3.5836199999999999E-2</c:v>
                </c:pt>
                <c:pt idx="129">
                  <c:v>3.6114E-2</c:v>
                </c:pt>
                <c:pt idx="130">
                  <c:v>3.6391800000000002E-2</c:v>
                </c:pt>
                <c:pt idx="131">
                  <c:v>3.6669599999999997E-2</c:v>
                </c:pt>
                <c:pt idx="132">
                  <c:v>3.6947399999999998E-2</c:v>
                </c:pt>
                <c:pt idx="133">
                  <c:v>3.72252E-2</c:v>
                </c:pt>
                <c:pt idx="134">
                  <c:v>3.7503000000000002E-2</c:v>
                </c:pt>
                <c:pt idx="135">
                  <c:v>3.7780800000000003E-2</c:v>
                </c:pt>
                <c:pt idx="136">
                  <c:v>3.8058599999999998E-2</c:v>
                </c:pt>
                <c:pt idx="137">
                  <c:v>3.83364E-2</c:v>
                </c:pt>
                <c:pt idx="138">
                  <c:v>3.8614200000000001E-2</c:v>
                </c:pt>
                <c:pt idx="139">
                  <c:v>3.8892000000000003E-2</c:v>
                </c:pt>
                <c:pt idx="140">
                  <c:v>3.9169799999999998E-2</c:v>
                </c:pt>
                <c:pt idx="141">
                  <c:v>3.9447599999999999E-2</c:v>
                </c:pt>
                <c:pt idx="142">
                  <c:v>3.9725400000000001E-2</c:v>
                </c:pt>
                <c:pt idx="143">
                  <c:v>4.0003200000000003E-2</c:v>
                </c:pt>
                <c:pt idx="144">
                  <c:v>4.0280999999999997E-2</c:v>
                </c:pt>
                <c:pt idx="145">
                  <c:v>4.0558799999999999E-2</c:v>
                </c:pt>
                <c:pt idx="146">
                  <c:v>4.0836600000000001E-2</c:v>
                </c:pt>
                <c:pt idx="147">
                  <c:v>4.1114400000000002E-2</c:v>
                </c:pt>
                <c:pt idx="148">
                  <c:v>4.1392199999999997E-2</c:v>
                </c:pt>
                <c:pt idx="149">
                  <c:v>4.1669999999999999E-2</c:v>
                </c:pt>
                <c:pt idx="150">
                  <c:v>4.19478E-2</c:v>
                </c:pt>
                <c:pt idx="151">
                  <c:v>4.2225600000000002E-2</c:v>
                </c:pt>
                <c:pt idx="152">
                  <c:v>4.2503399999999997E-2</c:v>
                </c:pt>
                <c:pt idx="153">
                  <c:v>4.2781199999999998E-2</c:v>
                </c:pt>
                <c:pt idx="154">
                  <c:v>4.3059E-2</c:v>
                </c:pt>
                <c:pt idx="155">
                  <c:v>4.3336800000000002E-2</c:v>
                </c:pt>
                <c:pt idx="156">
                  <c:v>4.3614600000000003E-2</c:v>
                </c:pt>
                <c:pt idx="157">
                  <c:v>4.3892399999999998E-2</c:v>
                </c:pt>
                <c:pt idx="158">
                  <c:v>4.41702E-2</c:v>
                </c:pt>
                <c:pt idx="159">
                  <c:v>4.4448000000000001E-2</c:v>
                </c:pt>
                <c:pt idx="160">
                  <c:v>4.4725800000000003E-2</c:v>
                </c:pt>
                <c:pt idx="161">
                  <c:v>4.5003599999999998E-2</c:v>
                </c:pt>
                <c:pt idx="162">
                  <c:v>4.5281399999999999E-2</c:v>
                </c:pt>
                <c:pt idx="163">
                  <c:v>4.5559200000000001E-2</c:v>
                </c:pt>
                <c:pt idx="164">
                  <c:v>4.5837000000000003E-2</c:v>
                </c:pt>
                <c:pt idx="165">
                  <c:v>4.6114799999999997E-2</c:v>
                </c:pt>
                <c:pt idx="166">
                  <c:v>4.6392599999999999E-2</c:v>
                </c:pt>
                <c:pt idx="167">
                  <c:v>4.6670400000000001E-2</c:v>
                </c:pt>
                <c:pt idx="168">
                  <c:v>4.6948200000000002E-2</c:v>
                </c:pt>
                <c:pt idx="169">
                  <c:v>4.7225999999999997E-2</c:v>
                </c:pt>
                <c:pt idx="170">
                  <c:v>4.7503799999999999E-2</c:v>
                </c:pt>
                <c:pt idx="171">
                  <c:v>4.77816E-2</c:v>
                </c:pt>
                <c:pt idx="172">
                  <c:v>4.8059400000000002E-2</c:v>
                </c:pt>
                <c:pt idx="173">
                  <c:v>4.8337199999999997E-2</c:v>
                </c:pt>
                <c:pt idx="174">
                  <c:v>4.8614999999999998E-2</c:v>
                </c:pt>
                <c:pt idx="175">
                  <c:v>4.88928E-2</c:v>
                </c:pt>
                <c:pt idx="176">
                  <c:v>4.9170600000000002E-2</c:v>
                </c:pt>
                <c:pt idx="177">
                  <c:v>4.9448400000000003E-2</c:v>
                </c:pt>
                <c:pt idx="178">
                  <c:v>4.9726199999999998E-2</c:v>
                </c:pt>
                <c:pt idx="179">
                  <c:v>5.0004E-2</c:v>
                </c:pt>
                <c:pt idx="180">
                  <c:v>5.0281800000000001E-2</c:v>
                </c:pt>
                <c:pt idx="181">
                  <c:v>5.0559600000000003E-2</c:v>
                </c:pt>
                <c:pt idx="182">
                  <c:v>5.0837399999999998E-2</c:v>
                </c:pt>
                <c:pt idx="183">
                  <c:v>5.11152E-2</c:v>
                </c:pt>
                <c:pt idx="184">
                  <c:v>5.1393000000000001E-2</c:v>
                </c:pt>
                <c:pt idx="185">
                  <c:v>5.1670800000000003E-2</c:v>
                </c:pt>
                <c:pt idx="186">
                  <c:v>5.1948599999999998E-2</c:v>
                </c:pt>
                <c:pt idx="187">
                  <c:v>5.2226399999999999E-2</c:v>
                </c:pt>
                <c:pt idx="188">
                  <c:v>5.2504200000000001E-2</c:v>
                </c:pt>
                <c:pt idx="189">
                  <c:v>5.2782000000000003E-2</c:v>
                </c:pt>
                <c:pt idx="190">
                  <c:v>5.3059799999999997E-2</c:v>
                </c:pt>
                <c:pt idx="191">
                  <c:v>5.3337599999999999E-2</c:v>
                </c:pt>
                <c:pt idx="192">
                  <c:v>5.3615400000000001E-2</c:v>
                </c:pt>
                <c:pt idx="193">
                  <c:v>5.3893200000000002E-2</c:v>
                </c:pt>
                <c:pt idx="194">
                  <c:v>5.4170999999999997E-2</c:v>
                </c:pt>
              </c:numCache>
            </c:numRef>
          </c:xVal>
          <c:yVal>
            <c:numRef>
              <c:f>variable_inlet!$U$6:$U$200</c:f>
              <c:numCache>
                <c:formatCode>General</c:formatCode>
                <c:ptCount val="195"/>
                <c:pt idx="0">
                  <c:v>301004.80060000002</c:v>
                </c:pt>
                <c:pt idx="1">
                  <c:v>307047.973</c:v>
                </c:pt>
                <c:pt idx="2">
                  <c:v>314155.31199999998</c:v>
                </c:pt>
                <c:pt idx="3">
                  <c:v>317308.72099999996</c:v>
                </c:pt>
                <c:pt idx="4">
                  <c:v>317298.02999999997</c:v>
                </c:pt>
                <c:pt idx="5">
                  <c:v>317449.11000000004</c:v>
                </c:pt>
                <c:pt idx="6">
                  <c:v>319382.70999999996</c:v>
                </c:pt>
                <c:pt idx="7">
                  <c:v>320358.71999999997</c:v>
                </c:pt>
                <c:pt idx="8">
                  <c:v>321505.34999999998</c:v>
                </c:pt>
                <c:pt idx="9">
                  <c:v>323677.25</c:v>
                </c:pt>
                <c:pt idx="10">
                  <c:v>325466.16000000003</c:v>
                </c:pt>
                <c:pt idx="11">
                  <c:v>325928.82</c:v>
                </c:pt>
                <c:pt idx="12">
                  <c:v>325335.49</c:v>
                </c:pt>
                <c:pt idx="13">
                  <c:v>325410.27</c:v>
                </c:pt>
                <c:pt idx="14">
                  <c:v>327091.29000000004</c:v>
                </c:pt>
                <c:pt idx="15">
                  <c:v>328828.77999999997</c:v>
                </c:pt>
                <c:pt idx="16">
                  <c:v>329244.97000000003</c:v>
                </c:pt>
                <c:pt idx="17">
                  <c:v>327949.90999999997</c:v>
                </c:pt>
                <c:pt idx="18">
                  <c:v>325540.17000000004</c:v>
                </c:pt>
                <c:pt idx="19">
                  <c:v>322726.27</c:v>
                </c:pt>
                <c:pt idx="20">
                  <c:v>319996.56</c:v>
                </c:pt>
                <c:pt idx="21">
                  <c:v>317469.37</c:v>
                </c:pt>
                <c:pt idx="22">
                  <c:v>314937.32</c:v>
                </c:pt>
                <c:pt idx="23">
                  <c:v>310615.65899999999</c:v>
                </c:pt>
                <c:pt idx="24">
                  <c:v>304021.68699999998</c:v>
                </c:pt>
                <c:pt idx="25">
                  <c:v>297730.01899999997</c:v>
                </c:pt>
                <c:pt idx="26">
                  <c:v>294578.16499999998</c:v>
                </c:pt>
                <c:pt idx="27">
                  <c:v>295739</c:v>
                </c:pt>
                <c:pt idx="28">
                  <c:v>299611.26</c:v>
                </c:pt>
                <c:pt idx="29">
                  <c:v>301985.79599999997</c:v>
                </c:pt>
                <c:pt idx="30">
                  <c:v>302604.79000000004</c:v>
                </c:pt>
                <c:pt idx="31">
                  <c:v>302796.03500000003</c:v>
                </c:pt>
                <c:pt idx="32">
                  <c:v>302953.255</c:v>
                </c:pt>
                <c:pt idx="33">
                  <c:v>303041.43839999998</c:v>
                </c:pt>
                <c:pt idx="34">
                  <c:v>302867.57760000002</c:v>
                </c:pt>
                <c:pt idx="35">
                  <c:v>302257.4572</c:v>
                </c:pt>
                <c:pt idx="36">
                  <c:v>301437.85879999999</c:v>
                </c:pt>
                <c:pt idx="37">
                  <c:v>300658.33429999999</c:v>
                </c:pt>
                <c:pt idx="38">
                  <c:v>299783.08539999998</c:v>
                </c:pt>
                <c:pt idx="39">
                  <c:v>298717.09969999996</c:v>
                </c:pt>
                <c:pt idx="40">
                  <c:v>297505.11660000001</c:v>
                </c:pt>
                <c:pt idx="41">
                  <c:v>296303.42849999998</c:v>
                </c:pt>
                <c:pt idx="42">
                  <c:v>295295.87479999999</c:v>
                </c:pt>
                <c:pt idx="43">
                  <c:v>294646.31580000004</c:v>
                </c:pt>
                <c:pt idx="44">
                  <c:v>294347.13279999996</c:v>
                </c:pt>
                <c:pt idx="45">
                  <c:v>294212.71139999997</c:v>
                </c:pt>
                <c:pt idx="46">
                  <c:v>294130.48590000003</c:v>
                </c:pt>
                <c:pt idx="47">
                  <c:v>294130.6568</c:v>
                </c:pt>
                <c:pt idx="48">
                  <c:v>294271.14145</c:v>
                </c:pt>
                <c:pt idx="49">
                  <c:v>294463.93300000002</c:v>
                </c:pt>
                <c:pt idx="50">
                  <c:v>294526.52679999999</c:v>
                </c:pt>
                <c:pt idx="51">
                  <c:v>294415.84710000001</c:v>
                </c:pt>
                <c:pt idx="52">
                  <c:v>294250.69710000005</c:v>
                </c:pt>
                <c:pt idx="53">
                  <c:v>294255.0845</c:v>
                </c:pt>
                <c:pt idx="54">
                  <c:v>294534.13550000003</c:v>
                </c:pt>
                <c:pt idx="55">
                  <c:v>295071.59090000001</c:v>
                </c:pt>
                <c:pt idx="56">
                  <c:v>295855.96950000001</c:v>
                </c:pt>
                <c:pt idx="57">
                  <c:v>296905.50839999999</c:v>
                </c:pt>
                <c:pt idx="58">
                  <c:v>298018.97710000002</c:v>
                </c:pt>
                <c:pt idx="59">
                  <c:v>298851.78419999999</c:v>
                </c:pt>
                <c:pt idx="60">
                  <c:v>299256.88549999997</c:v>
                </c:pt>
                <c:pt idx="61">
                  <c:v>299328.1972</c:v>
                </c:pt>
                <c:pt idx="62">
                  <c:v>299236.6544</c:v>
                </c:pt>
                <c:pt idx="63">
                  <c:v>299117.92809999996</c:v>
                </c:pt>
                <c:pt idx="64">
                  <c:v>299044.21169999999</c:v>
                </c:pt>
                <c:pt idx="65">
                  <c:v>299041.13770000002</c:v>
                </c:pt>
                <c:pt idx="66">
                  <c:v>299122.27391999995</c:v>
                </c:pt>
                <c:pt idx="67">
                  <c:v>299283.44932000001</c:v>
                </c:pt>
                <c:pt idx="68">
                  <c:v>299491.93558999995</c:v>
                </c:pt>
                <c:pt idx="69">
                  <c:v>299705.61109999998</c:v>
                </c:pt>
                <c:pt idx="70">
                  <c:v>299923.16969999997</c:v>
                </c:pt>
                <c:pt idx="71">
                  <c:v>300199.95289999997</c:v>
                </c:pt>
                <c:pt idx="72">
                  <c:v>301121.17110000004</c:v>
                </c:pt>
                <c:pt idx="73">
                  <c:v>307488.74100000004</c:v>
                </c:pt>
                <c:pt idx="74">
                  <c:v>314632.03200000001</c:v>
                </c:pt>
                <c:pt idx="75">
                  <c:v>317818.64799999999</c:v>
                </c:pt>
                <c:pt idx="76">
                  <c:v>317988.67</c:v>
                </c:pt>
                <c:pt idx="77">
                  <c:v>318255.25</c:v>
                </c:pt>
                <c:pt idx="78">
                  <c:v>320206.71000000002</c:v>
                </c:pt>
                <c:pt idx="79">
                  <c:v>321311.79000000004</c:v>
                </c:pt>
                <c:pt idx="80">
                  <c:v>322471.38</c:v>
                </c:pt>
                <c:pt idx="81">
                  <c:v>324375.57</c:v>
                </c:pt>
                <c:pt idx="82">
                  <c:v>326033.57</c:v>
                </c:pt>
                <c:pt idx="83">
                  <c:v>326650.83999999997</c:v>
                </c:pt>
                <c:pt idx="84">
                  <c:v>326252.96000000002</c:v>
                </c:pt>
                <c:pt idx="85">
                  <c:v>326136.28000000003</c:v>
                </c:pt>
                <c:pt idx="86">
                  <c:v>327395.13</c:v>
                </c:pt>
                <c:pt idx="87">
                  <c:v>328833.91999999998</c:v>
                </c:pt>
                <c:pt idx="88">
                  <c:v>329105.82</c:v>
                </c:pt>
                <c:pt idx="89">
                  <c:v>327839.54000000004</c:v>
                </c:pt>
                <c:pt idx="90">
                  <c:v>325434.16000000003</c:v>
                </c:pt>
                <c:pt idx="91">
                  <c:v>322430.7</c:v>
                </c:pt>
                <c:pt idx="92">
                  <c:v>319636.75</c:v>
                </c:pt>
                <c:pt idx="93">
                  <c:v>317274.13999999996</c:v>
                </c:pt>
                <c:pt idx="94">
                  <c:v>314956.90999999997</c:v>
                </c:pt>
                <c:pt idx="95">
                  <c:v>311018.12699999998</c:v>
                </c:pt>
                <c:pt idx="96">
                  <c:v>304585.56600000005</c:v>
                </c:pt>
                <c:pt idx="97">
                  <c:v>297907.98599999998</c:v>
                </c:pt>
                <c:pt idx="98">
                  <c:v>294437.13699999999</c:v>
                </c:pt>
                <c:pt idx="99">
                  <c:v>295531.55499999999</c:v>
                </c:pt>
                <c:pt idx="100">
                  <c:v>299541.902</c:v>
                </c:pt>
                <c:pt idx="101">
                  <c:v>302224.81599999999</c:v>
                </c:pt>
                <c:pt idx="102">
                  <c:v>302825.02500000002</c:v>
                </c:pt>
                <c:pt idx="103">
                  <c:v>302750.49099999998</c:v>
                </c:pt>
                <c:pt idx="104">
                  <c:v>302601.98200000002</c:v>
                </c:pt>
                <c:pt idx="105">
                  <c:v>302536.92869999999</c:v>
                </c:pt>
                <c:pt idx="106">
                  <c:v>302441.97270000004</c:v>
                </c:pt>
                <c:pt idx="107">
                  <c:v>302095.5318</c:v>
                </c:pt>
                <c:pt idx="108">
                  <c:v>301468.4277</c:v>
                </c:pt>
                <c:pt idx="109">
                  <c:v>300766.5992</c:v>
                </c:pt>
                <c:pt idx="110">
                  <c:v>299916.59460000001</c:v>
                </c:pt>
                <c:pt idx="111">
                  <c:v>298863.92840000003</c:v>
                </c:pt>
                <c:pt idx="112">
                  <c:v>297679.77240000002</c:v>
                </c:pt>
                <c:pt idx="113">
                  <c:v>296517.66620000004</c:v>
                </c:pt>
                <c:pt idx="114">
                  <c:v>295531.95419999998</c:v>
                </c:pt>
                <c:pt idx="115">
                  <c:v>294902.16090000002</c:v>
                </c:pt>
                <c:pt idx="116">
                  <c:v>294618.79009999998</c:v>
                </c:pt>
                <c:pt idx="117">
                  <c:v>294472.71300000005</c:v>
                </c:pt>
                <c:pt idx="118">
                  <c:v>294347.69879999995</c:v>
                </c:pt>
                <c:pt idx="119">
                  <c:v>294283.0772</c:v>
                </c:pt>
                <c:pt idx="120">
                  <c:v>294350.30170000001</c:v>
                </c:pt>
                <c:pt idx="121">
                  <c:v>294518.37761000003</c:v>
                </c:pt>
                <c:pt idx="122">
                  <c:v>294654.05060000002</c:v>
                </c:pt>
                <c:pt idx="123">
                  <c:v>294668.10060000001</c:v>
                </c:pt>
                <c:pt idx="124">
                  <c:v>294622.46669999999</c:v>
                </c:pt>
                <c:pt idx="125">
                  <c:v>294692.03989999997</c:v>
                </c:pt>
                <c:pt idx="126">
                  <c:v>294983.51189999998</c:v>
                </c:pt>
                <c:pt idx="127">
                  <c:v>295514.75260000001</c:v>
                </c:pt>
                <c:pt idx="128">
                  <c:v>296312.68680000002</c:v>
                </c:pt>
                <c:pt idx="129">
                  <c:v>297383.31640000001</c:v>
                </c:pt>
                <c:pt idx="130">
                  <c:v>298461.80369999999</c:v>
                </c:pt>
                <c:pt idx="131">
                  <c:v>299188.44040000002</c:v>
                </c:pt>
                <c:pt idx="132">
                  <c:v>299486.55169999995</c:v>
                </c:pt>
                <c:pt idx="133">
                  <c:v>299499.32809999998</c:v>
                </c:pt>
                <c:pt idx="134">
                  <c:v>299397.95110000001</c:v>
                </c:pt>
                <c:pt idx="135">
                  <c:v>299297.96029999998</c:v>
                </c:pt>
                <c:pt idx="136">
                  <c:v>299263.57039999997</c:v>
                </c:pt>
                <c:pt idx="137">
                  <c:v>299316.70629999996</c:v>
                </c:pt>
                <c:pt idx="138">
                  <c:v>299455.08652000001</c:v>
                </c:pt>
                <c:pt idx="139">
                  <c:v>299643.84904</c:v>
                </c:pt>
                <c:pt idx="140">
                  <c:v>299817.20799999998</c:v>
                </c:pt>
                <c:pt idx="141">
                  <c:v>299917.83689999999</c:v>
                </c:pt>
                <c:pt idx="142">
                  <c:v>299978.01949999999</c:v>
                </c:pt>
                <c:pt idx="143">
                  <c:v>300110.24430000002</c:v>
                </c:pt>
                <c:pt idx="144">
                  <c:v>301003.81569999998</c:v>
                </c:pt>
                <c:pt idx="145">
                  <c:v>307360.58600000001</c:v>
                </c:pt>
                <c:pt idx="146">
                  <c:v>314620.16700000002</c:v>
                </c:pt>
                <c:pt idx="147">
                  <c:v>318062.27799999999</c:v>
                </c:pt>
                <c:pt idx="148">
                  <c:v>318251.14999999997</c:v>
                </c:pt>
                <c:pt idx="149">
                  <c:v>318194.34000000003</c:v>
                </c:pt>
                <c:pt idx="150">
                  <c:v>319869.75</c:v>
                </c:pt>
                <c:pt idx="151">
                  <c:v>320693.26</c:v>
                </c:pt>
                <c:pt idx="152">
                  <c:v>321831.85000000003</c:v>
                </c:pt>
                <c:pt idx="153">
                  <c:v>323934.48</c:v>
                </c:pt>
                <c:pt idx="154">
                  <c:v>325688.69</c:v>
                </c:pt>
                <c:pt idx="155">
                  <c:v>326210.26999999996</c:v>
                </c:pt>
                <c:pt idx="156">
                  <c:v>325625.98</c:v>
                </c:pt>
                <c:pt idx="157">
                  <c:v>325596.28000000003</c:v>
                </c:pt>
                <c:pt idx="158">
                  <c:v>327218.27</c:v>
                </c:pt>
                <c:pt idx="159">
                  <c:v>328991.19</c:v>
                </c:pt>
                <c:pt idx="160">
                  <c:v>329432.81</c:v>
                </c:pt>
                <c:pt idx="161">
                  <c:v>328153.83999999997</c:v>
                </c:pt>
                <c:pt idx="162">
                  <c:v>325732.45999999996</c:v>
                </c:pt>
                <c:pt idx="163">
                  <c:v>322821.65999999997</c:v>
                </c:pt>
                <c:pt idx="164">
                  <c:v>320061.28999999998</c:v>
                </c:pt>
                <c:pt idx="165">
                  <c:v>317685.08999999997</c:v>
                </c:pt>
                <c:pt idx="166">
                  <c:v>315370.19</c:v>
                </c:pt>
                <c:pt idx="167">
                  <c:v>311190.46500000003</c:v>
                </c:pt>
                <c:pt idx="168">
                  <c:v>304521.62400000001</c:v>
                </c:pt>
                <c:pt idx="169">
                  <c:v>298082.80700000003</c:v>
                </c:pt>
                <c:pt idx="170">
                  <c:v>295068.391</c:v>
                </c:pt>
                <c:pt idx="171">
                  <c:v>296498.88699999999</c:v>
                </c:pt>
                <c:pt idx="172">
                  <c:v>300438.842</c:v>
                </c:pt>
                <c:pt idx="173">
                  <c:v>302670.35699999996</c:v>
                </c:pt>
                <c:pt idx="174">
                  <c:v>303083.375</c:v>
                </c:pt>
                <c:pt idx="175">
                  <c:v>303057.255</c:v>
                </c:pt>
                <c:pt idx="176">
                  <c:v>303101.79300000001</c:v>
                </c:pt>
                <c:pt idx="177">
                  <c:v>303219.31300000002</c:v>
                </c:pt>
                <c:pt idx="178">
                  <c:v>303125.2403</c:v>
                </c:pt>
                <c:pt idx="179">
                  <c:v>302607.46110000001</c:v>
                </c:pt>
                <c:pt idx="180">
                  <c:v>301946.3762</c:v>
                </c:pt>
                <c:pt idx="181">
                  <c:v>301324.09629999998</c:v>
                </c:pt>
                <c:pt idx="182">
                  <c:v>300588.99209999997</c:v>
                </c:pt>
                <c:pt idx="183">
                  <c:v>299673.43310000002</c:v>
                </c:pt>
                <c:pt idx="184">
                  <c:v>298608.4963</c:v>
                </c:pt>
                <c:pt idx="185">
                  <c:v>297495.59539999999</c:v>
                </c:pt>
                <c:pt idx="186">
                  <c:v>296446.3518</c:v>
                </c:pt>
                <c:pt idx="187">
                  <c:v>295571.62239999999</c:v>
                </c:pt>
                <c:pt idx="188">
                  <c:v>295081.89540000004</c:v>
                </c:pt>
                <c:pt idx="189">
                  <c:v>294981.59789999999</c:v>
                </c:pt>
                <c:pt idx="190">
                  <c:v>294992.00030000001</c:v>
                </c:pt>
                <c:pt idx="191">
                  <c:v>294983.90479999996</c:v>
                </c:pt>
                <c:pt idx="192">
                  <c:v>295007.04980000004</c:v>
                </c:pt>
                <c:pt idx="193">
                  <c:v>295134.40664</c:v>
                </c:pt>
                <c:pt idx="194">
                  <c:v>295280.15059999999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6EBA-4372-A091-21E8DA4564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5924336"/>
        <c:axId val="395924696"/>
      </c:scatterChart>
      <c:valAx>
        <c:axId val="395924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czas</a:t>
                </a:r>
                <a:r>
                  <a:rPr lang="pl-PL" baseline="0"/>
                  <a:t> [s]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95924696"/>
        <c:crosses val="autoZero"/>
        <c:crossBetween val="midCat"/>
      </c:valAx>
      <c:valAx>
        <c:axId val="395924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ciśnienei całkowite</a:t>
                </a:r>
                <a:r>
                  <a:rPr lang="pl-PL" baseline="0"/>
                  <a:t> na wlocie [Pa]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959243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c:style val="2"/>
  <c:chart>
    <c:autoTitleDeleted val="1"/>
    <c:plotArea>
      <c:layout/>
      <c:scatterChart>
        <c:scatterStyle val="lineMarker"/>
        <c:varyColors val="0"/>
        <c:ser>
          <c:idx val="2"/>
          <c:order val="0"/>
          <c:tx>
            <c:strRef>
              <c:f>Arkusz03kg!$F$5:$F$5</c:f>
              <c:strCache>
                <c:ptCount val="1"/>
                <c:pt idx="0">
                  <c:v>Inlet-static</c:v>
                </c:pt>
              </c:strCache>
            </c:strRef>
          </c:tx>
          <c:spPr>
            <a:ln w="28800">
              <a:solidFill>
                <a:srgbClr val="FFD320"/>
              </a:solidFill>
            </a:ln>
          </c:spPr>
          <c:marker>
            <c:symbol val="none"/>
          </c:marker>
          <c:xVal>
            <c:numRef>
              <c:f>Arkusz03kg!$C$7:$C$12</c:f>
              <c:numCache>
                <c:formatCode>General</c:formatCode>
                <c:ptCount val="6"/>
                <c:pt idx="0">
                  <c:v>40</c:v>
                </c:pt>
                <c:pt idx="1">
                  <c:v>33.333333333333336</c:v>
                </c:pt>
                <c:pt idx="2">
                  <c:v>28.571428571428573</c:v>
                </c:pt>
                <c:pt idx="3">
                  <c:v>25</c:v>
                </c:pt>
                <c:pt idx="4">
                  <c:v>22.222222222222221</c:v>
                </c:pt>
                <c:pt idx="5">
                  <c:v>20</c:v>
                </c:pt>
              </c:numCache>
            </c:numRef>
          </c:xVal>
          <c:yVal>
            <c:numRef>
              <c:f>Arkusz03kg!$F$7:$F$12</c:f>
              <c:numCache>
                <c:formatCode>General</c:formatCode>
                <c:ptCount val="6"/>
                <c:pt idx="0">
                  <c:v>375357.4</c:v>
                </c:pt>
                <c:pt idx="1">
                  <c:v>372290.44</c:v>
                </c:pt>
                <c:pt idx="2">
                  <c:v>371173.1</c:v>
                </c:pt>
                <c:pt idx="3">
                  <c:v>370398.95</c:v>
                </c:pt>
                <c:pt idx="4">
                  <c:v>369495.2</c:v>
                </c:pt>
                <c:pt idx="5">
                  <c:v>368670.5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333-46D8-9E9B-21B07BD0827B}"/>
            </c:ext>
          </c:extLst>
        </c:ser>
        <c:ser>
          <c:idx val="3"/>
          <c:order val="1"/>
          <c:tx>
            <c:strRef>
              <c:f>Arkusz03kg!$G$5:$G$5</c:f>
              <c:strCache>
                <c:ptCount val="1"/>
                <c:pt idx="0">
                  <c:v>Inlet-total</c:v>
                </c:pt>
              </c:strCache>
            </c:strRef>
          </c:tx>
          <c:spPr>
            <a:ln w="28800">
              <a:solidFill>
                <a:srgbClr val="579D1C"/>
              </a:solidFill>
            </a:ln>
          </c:spPr>
          <c:marker>
            <c:symbol val="none"/>
          </c:marker>
          <c:xVal>
            <c:numRef>
              <c:f>Arkusz03kg!$C$7:$C$12</c:f>
              <c:numCache>
                <c:formatCode>General</c:formatCode>
                <c:ptCount val="6"/>
                <c:pt idx="0">
                  <c:v>40</c:v>
                </c:pt>
                <c:pt idx="1">
                  <c:v>33.333333333333336</c:v>
                </c:pt>
                <c:pt idx="2">
                  <c:v>28.571428571428573</c:v>
                </c:pt>
                <c:pt idx="3">
                  <c:v>25</c:v>
                </c:pt>
                <c:pt idx="4">
                  <c:v>22.222222222222221</c:v>
                </c:pt>
                <c:pt idx="5">
                  <c:v>20</c:v>
                </c:pt>
              </c:numCache>
            </c:numRef>
          </c:xVal>
          <c:yVal>
            <c:numRef>
              <c:f>Arkusz03kg!$G$7:$G$12</c:f>
              <c:numCache>
                <c:formatCode>General</c:formatCode>
                <c:ptCount val="6"/>
                <c:pt idx="0" formatCode="0.0">
                  <c:v>397103.6</c:v>
                </c:pt>
                <c:pt idx="1">
                  <c:v>394182.1</c:v>
                </c:pt>
                <c:pt idx="2">
                  <c:v>393222.8</c:v>
                </c:pt>
                <c:pt idx="3">
                  <c:v>392376.39</c:v>
                </c:pt>
                <c:pt idx="4">
                  <c:v>391512.4</c:v>
                </c:pt>
                <c:pt idx="5">
                  <c:v>390722.2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333-46D8-9E9B-21B07BD082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8297632"/>
        <c:axId val="608298712"/>
      </c:scatterChart>
      <c:valAx>
        <c:axId val="608298712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 b="0"/>
                </a:pPr>
                <a:r>
                  <a:rPr lang="pl-PL"/>
                  <a:t>inlet static p [Pa]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/>
            </a:pPr>
            <a:endParaRPr lang="pl-PL"/>
          </a:p>
        </c:txPr>
        <c:crossAx val="608297632"/>
        <c:crossesAt val="0"/>
        <c:crossBetween val="midCat"/>
      </c:valAx>
      <c:valAx>
        <c:axId val="6082976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0"/>
                </a:pPr>
                <a:r>
                  <a:rPr lang="pl-PL"/>
                  <a:t>H [mm]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/>
            </a:pPr>
            <a:endParaRPr lang="pl-PL"/>
          </a:p>
        </c:txPr>
        <c:crossAx val="608298712"/>
        <c:crossesAt val="0"/>
        <c:crossBetween val="midCat"/>
      </c:valAx>
      <c:spPr>
        <a:noFill/>
        <a:ln>
          <a:solidFill>
            <a:srgbClr val="B3B3B3"/>
          </a:solidFill>
          <a:prstDash val="solid"/>
        </a:ln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sz="1000" b="0"/>
          </a:pPr>
          <a:endParaRPr lang="pl-PL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Arkusz03kg!$B$39:$B$39</c:f>
              <c:strCache>
                <c:ptCount val="1"/>
              </c:strCache>
            </c:strRef>
          </c:tx>
          <c:spPr>
            <a:ln w="28800">
              <a:solidFill>
                <a:srgbClr val="004586"/>
              </a:solidFill>
            </a:ln>
          </c:spPr>
          <c:marker>
            <c:symbol val="none"/>
          </c:marker>
          <c:xVal>
            <c:numRef>
              <c:f>Arkusz03kg!$A$40:$A$42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  <c:pt idx="2">
                  <c:v>2</c:v>
                </c:pt>
              </c:numCache>
            </c:numRef>
          </c:xVal>
          <c:yVal>
            <c:numRef>
              <c:f>Arkusz03kg!$B$40:$B$42</c:f>
              <c:numCache>
                <c:formatCode>0.000</c:formatCode>
                <c:ptCount val="3"/>
                <c:pt idx="0">
                  <c:v>3.6867049999999999</c:v>
                </c:pt>
                <c:pt idx="1">
                  <c:v>3.3981359999999996</c:v>
                </c:pt>
                <c:pt idx="2">
                  <c:v>3.2586077000000002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753-4E86-9DC3-171FA2F44413}"/>
            </c:ext>
          </c:extLst>
        </c:ser>
        <c:ser>
          <c:idx val="1"/>
          <c:order val="1"/>
          <c:tx>
            <c:strRef>
              <c:f>Arkusz03kg!$C$39:$C$39</c:f>
              <c:strCache>
                <c:ptCount val="1"/>
              </c:strCache>
            </c:strRef>
          </c:tx>
          <c:spPr>
            <a:ln w="28800">
              <a:solidFill>
                <a:srgbClr val="FF420E"/>
              </a:solidFill>
            </a:ln>
          </c:spPr>
          <c:marker>
            <c:symbol val="none"/>
          </c:marker>
          <c:xVal>
            <c:numRef>
              <c:f>Arkusz03kg!$A$40:$A$42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  <c:pt idx="2">
                  <c:v>2</c:v>
                </c:pt>
              </c:numCache>
            </c:numRef>
          </c:xVal>
          <c:yVal>
            <c:numRef>
              <c:f>Arkusz03kg!$C$40:$C$42</c:f>
              <c:numCache>
                <c:formatCode>0.000</c:formatCode>
                <c:ptCount val="3"/>
                <c:pt idx="0">
                  <c:v>3.907222</c:v>
                </c:pt>
                <c:pt idx="1">
                  <c:v>3.6331629999999997</c:v>
                </c:pt>
                <c:pt idx="2">
                  <c:v>3.5013726000000003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53-4E86-9DC3-171FA2F444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8290072"/>
        <c:axId val="608289352"/>
      </c:scatterChart>
      <c:valAx>
        <c:axId val="608289352"/>
        <c:scaling>
          <c:orientation val="minMax"/>
          <c:min val="3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 b="0"/>
                </a:pPr>
                <a:r>
                  <a:rPr lang="pl-PL"/>
                  <a:t>[Pa]</a:t>
                </a:r>
              </a:p>
            </c:rich>
          </c:tx>
          <c:overlay val="0"/>
        </c:title>
        <c:numFmt formatCode="0.000" sourceLinked="1"/>
        <c:majorTickMark val="none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/>
            </a:pPr>
            <a:endParaRPr lang="pl-PL"/>
          </a:p>
        </c:txPr>
        <c:crossAx val="608290072"/>
        <c:crossesAt val="0"/>
        <c:crossBetween val="midCat"/>
      </c:valAx>
      <c:valAx>
        <c:axId val="6082900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0"/>
                </a:pPr>
                <a:r>
                  <a:rPr lang="pl-PL"/>
                  <a:t>wersja kierownicy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/>
            </a:pPr>
            <a:endParaRPr lang="pl-PL"/>
          </a:p>
        </c:txPr>
        <c:crossAx val="608289352"/>
        <c:crossesAt val="0"/>
        <c:crossBetween val="midCat"/>
        <c:majorUnit val="1"/>
      </c:valAx>
      <c:spPr>
        <a:noFill/>
        <a:ln>
          <a:solidFill>
            <a:srgbClr val="B3B3B3"/>
          </a:solidFill>
          <a:prstDash val="solid"/>
        </a:ln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sz="1000" b="0"/>
          </a:pPr>
          <a:endParaRPr lang="pl-PL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8800">
              <a:solidFill>
                <a:srgbClr val="004586"/>
              </a:solidFill>
            </a:ln>
          </c:spPr>
          <c:marker>
            <c:symbol val="none"/>
          </c:marker>
          <c:xVal>
            <c:numRef>
              <c:f>Arkusz03kg!$U$7:$U$12</c:f>
              <c:numCache>
                <c:formatCode>General</c:formatCode>
                <c:ptCount val="6"/>
                <c:pt idx="0">
                  <c:v>40</c:v>
                </c:pt>
                <c:pt idx="1">
                  <c:v>33.333333333333336</c:v>
                </c:pt>
                <c:pt idx="2">
                  <c:v>28.571428571428573</c:v>
                </c:pt>
                <c:pt idx="3">
                  <c:v>25</c:v>
                </c:pt>
                <c:pt idx="4">
                  <c:v>22.222222222222221</c:v>
                </c:pt>
                <c:pt idx="5">
                  <c:v>20</c:v>
                </c:pt>
              </c:numCache>
            </c:numRef>
          </c:xVal>
          <c:yVal>
            <c:numRef>
              <c:f>Arkusz03kg!$X$7:$X$12</c:f>
              <c:numCache>
                <c:formatCode>General</c:formatCode>
                <c:ptCount val="6"/>
                <c:pt idx="0">
                  <c:v>329603.7</c:v>
                </c:pt>
                <c:pt idx="1">
                  <c:v>328677.7</c:v>
                </c:pt>
                <c:pt idx="2">
                  <c:v>327964.40000000002</c:v>
                </c:pt>
                <c:pt idx="3">
                  <c:v>327410.5</c:v>
                </c:pt>
                <c:pt idx="4">
                  <c:v>327751.59999999998</c:v>
                </c:pt>
                <c:pt idx="5">
                  <c:v>325860.77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CA3-4887-9653-0DCB566637DF}"/>
            </c:ext>
          </c:extLst>
        </c:ser>
        <c:ser>
          <c:idx val="1"/>
          <c:order val="1"/>
          <c:spPr>
            <a:ln w="28800">
              <a:solidFill>
                <a:srgbClr val="FF420E"/>
              </a:solidFill>
            </a:ln>
          </c:spPr>
          <c:marker>
            <c:symbol val="none"/>
          </c:marker>
          <c:xVal>
            <c:numRef>
              <c:f>Arkusz03kg!$U$7:$U$12</c:f>
              <c:numCache>
                <c:formatCode>General</c:formatCode>
                <c:ptCount val="6"/>
                <c:pt idx="0">
                  <c:v>40</c:v>
                </c:pt>
                <c:pt idx="1">
                  <c:v>33.333333333333336</c:v>
                </c:pt>
                <c:pt idx="2">
                  <c:v>28.571428571428573</c:v>
                </c:pt>
                <c:pt idx="3">
                  <c:v>25</c:v>
                </c:pt>
                <c:pt idx="4">
                  <c:v>22.222222222222221</c:v>
                </c:pt>
                <c:pt idx="5">
                  <c:v>20</c:v>
                </c:pt>
              </c:numCache>
            </c:numRef>
          </c:xVal>
          <c:yVal>
            <c:numRef>
              <c:f>Arkusz03kg!$Y$7:$Y$12</c:f>
              <c:numCache>
                <c:formatCode>General</c:formatCode>
                <c:ptCount val="6"/>
                <c:pt idx="0">
                  <c:v>353671</c:v>
                </c:pt>
                <c:pt idx="1">
                  <c:v>352801.6</c:v>
                </c:pt>
                <c:pt idx="2">
                  <c:v>352245.1</c:v>
                </c:pt>
                <c:pt idx="3">
                  <c:v>351600.3</c:v>
                </c:pt>
                <c:pt idx="4">
                  <c:v>351925.9</c:v>
                </c:pt>
                <c:pt idx="5">
                  <c:v>350137.26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CA3-4887-9653-0DCB566637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8293672"/>
        <c:axId val="608293312"/>
      </c:scatterChart>
      <c:valAx>
        <c:axId val="608293312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/>
            </a:pPr>
            <a:endParaRPr lang="pl-PL"/>
          </a:p>
        </c:txPr>
        <c:crossAx val="608293672"/>
        <c:crossesAt val="0"/>
        <c:crossBetween val="midCat"/>
      </c:valAx>
      <c:valAx>
        <c:axId val="608293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/>
            </a:pPr>
            <a:endParaRPr lang="pl-PL"/>
          </a:p>
        </c:txPr>
        <c:crossAx val="608293312"/>
        <c:crossesAt val="0"/>
        <c:crossBetween val="midCat"/>
      </c:valAx>
      <c:spPr>
        <a:noFill/>
        <a:ln>
          <a:solidFill>
            <a:srgbClr val="B3B3B3"/>
          </a:solidFill>
          <a:prstDash val="solid"/>
        </a:ln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sz="1000" b="0"/>
          </a:pPr>
          <a:endParaRPr lang="pl-PL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Arkusz03kg!$R$41:$R$41</c:f>
              <c:strCache>
                <c:ptCount val="1"/>
              </c:strCache>
            </c:strRef>
          </c:tx>
          <c:spPr>
            <a:ln w="28800">
              <a:solidFill>
                <a:srgbClr val="004586"/>
              </a:solidFill>
            </a:ln>
          </c:spPr>
          <c:marker>
            <c:symbol val="none"/>
          </c:marker>
          <c:xVal>
            <c:numRef>
              <c:f>Arkusz03kg!$Q$42:$Q$47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Arkusz03kg!$R$42:$R$47</c:f>
              <c:numCache>
                <c:formatCode>0.000</c:formatCode>
                <c:ptCount val="6"/>
                <c:pt idx="0">
                  <c:v>3.6867049999999999</c:v>
                </c:pt>
                <c:pt idx="1">
                  <c:v>3.7751070000000002</c:v>
                </c:pt>
                <c:pt idx="2">
                  <c:v>3.3829840000000004</c:v>
                </c:pt>
                <c:pt idx="3">
                  <c:v>3.4192140000000002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22-4723-AF61-1E48B443D1A4}"/>
            </c:ext>
          </c:extLst>
        </c:ser>
        <c:ser>
          <c:idx val="1"/>
          <c:order val="1"/>
          <c:tx>
            <c:strRef>
              <c:f>Arkusz03kg!$S$41:$S$41</c:f>
              <c:strCache>
                <c:ptCount val="1"/>
              </c:strCache>
            </c:strRef>
          </c:tx>
          <c:spPr>
            <a:ln w="28800">
              <a:solidFill>
                <a:srgbClr val="FF420E"/>
              </a:solidFill>
            </a:ln>
          </c:spPr>
          <c:marker>
            <c:symbol val="none"/>
          </c:marker>
          <c:xVal>
            <c:numRef>
              <c:f>Arkusz03kg!$Q$42:$Q$47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Arkusz03kg!$S$42:$S$47</c:f>
              <c:numCache>
                <c:formatCode>0.000</c:formatCode>
                <c:ptCount val="6"/>
                <c:pt idx="0">
                  <c:v>3.907222</c:v>
                </c:pt>
                <c:pt idx="1">
                  <c:v>3.9915029999999998</c:v>
                </c:pt>
                <c:pt idx="2">
                  <c:v>3.6188259999999999</c:v>
                </c:pt>
                <c:pt idx="3">
                  <c:v>3.6531129999999998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922-4723-AF61-1E48B443D1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8290792"/>
        <c:axId val="608300512"/>
      </c:scatterChart>
      <c:valAx>
        <c:axId val="608300512"/>
        <c:scaling>
          <c:orientation val="minMax"/>
          <c:min val="3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 b="0"/>
                </a:pPr>
                <a:r>
                  <a:rPr lang="pl-PL"/>
                  <a:t>[Pa]</a:t>
                </a:r>
              </a:p>
            </c:rich>
          </c:tx>
          <c:overlay val="0"/>
        </c:title>
        <c:numFmt formatCode="0.000" sourceLinked="1"/>
        <c:majorTickMark val="none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/>
            </a:pPr>
            <a:endParaRPr lang="pl-PL"/>
          </a:p>
        </c:txPr>
        <c:crossAx val="608290792"/>
        <c:crossesAt val="0"/>
        <c:crossBetween val="midCat"/>
      </c:valAx>
      <c:valAx>
        <c:axId val="6082907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0"/>
                </a:pPr>
                <a:r>
                  <a:rPr lang="pl-PL"/>
                  <a:t>wysokosc kierownicy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/>
            </a:pPr>
            <a:endParaRPr lang="pl-PL"/>
          </a:p>
        </c:txPr>
        <c:crossAx val="608300512"/>
        <c:crossesAt val="0"/>
        <c:crossBetween val="midCat"/>
        <c:majorUnit val="1"/>
      </c:valAx>
      <c:spPr>
        <a:noFill/>
        <a:ln>
          <a:solidFill>
            <a:srgbClr val="B3B3B3"/>
          </a:solidFill>
          <a:prstDash val="solid"/>
        </a:ln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sz="1000" b="0"/>
          </a:pPr>
          <a:endParaRPr lang="pl-PL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c:style val="2"/>
  <c:chart>
    <c:autoTitleDeleted val="1"/>
    <c:plotArea>
      <c:layout>
        <c:manualLayout>
          <c:xMode val="edge"/>
          <c:yMode val="edge"/>
          <c:x val="2.4E-2"/>
          <c:y val="2.3870323082047295E-2"/>
          <c:w val="0.85525000000000007"/>
          <c:h val="0.95980903741534351"/>
        </c:manualLayout>
      </c:layout>
      <c:scatterChart>
        <c:scatterStyle val="lineMarker"/>
        <c:varyColors val="0"/>
        <c:ser>
          <c:idx val="0"/>
          <c:order val="0"/>
          <c:tx>
            <c:strRef>
              <c:f>Arkusz03kg!$A$41:$A$41</c:f>
              <c:strCache>
                <c:ptCount val="1"/>
                <c:pt idx="0">
                  <c:v>1</c:v>
                </c:pt>
              </c:strCache>
            </c:strRef>
          </c:tx>
          <c:spPr>
            <a:ln w="28800">
              <a:solidFill>
                <a:srgbClr val="004586"/>
              </a:solidFill>
            </a:ln>
          </c:spPr>
          <c:marker>
            <c:symbol val="none"/>
          </c:marker>
          <c:xVal>
            <c:numRef>
              <c:f>Arkusz03kg!$A$40:$A$42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  <c:pt idx="2">
                  <c:v>2</c:v>
                </c:pt>
              </c:numCache>
            </c:numRef>
          </c:xVal>
          <c:yVal>
            <c:numRef>
              <c:f>Arkusz03kg!$B$40:$B$42</c:f>
              <c:numCache>
                <c:formatCode>0.000</c:formatCode>
                <c:ptCount val="3"/>
                <c:pt idx="0">
                  <c:v>3.6867049999999999</c:v>
                </c:pt>
                <c:pt idx="1">
                  <c:v>3.3981359999999996</c:v>
                </c:pt>
                <c:pt idx="2">
                  <c:v>3.2586077000000002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366-4BD1-B6A0-FB759A16C5BF}"/>
            </c:ext>
          </c:extLst>
        </c:ser>
        <c:ser>
          <c:idx val="1"/>
          <c:order val="1"/>
          <c:tx>
            <c:strRef>
              <c:f>Arkusz03kg!$A$42:$A$42</c:f>
              <c:strCache>
                <c:ptCount val="1"/>
                <c:pt idx="0">
                  <c:v>2</c:v>
                </c:pt>
              </c:strCache>
            </c:strRef>
          </c:tx>
          <c:spPr>
            <a:ln w="28800">
              <a:solidFill>
                <a:srgbClr val="FF420E"/>
              </a:solidFill>
            </a:ln>
          </c:spPr>
          <c:marker>
            <c:symbol val="none"/>
          </c:marker>
          <c:xVal>
            <c:numRef>
              <c:f>Arkusz03kg!$Q$42:$Q$48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Arkusz03kg!$R$42:$R$48</c:f>
              <c:numCache>
                <c:formatCode>0.000</c:formatCode>
                <c:ptCount val="7"/>
                <c:pt idx="0">
                  <c:v>3.6867049999999999</c:v>
                </c:pt>
                <c:pt idx="1">
                  <c:v>3.7751070000000002</c:v>
                </c:pt>
                <c:pt idx="2">
                  <c:v>3.3829840000000004</c:v>
                </c:pt>
                <c:pt idx="3">
                  <c:v>3.4192140000000002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366-4BD1-B6A0-FB759A16C5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8291872"/>
        <c:axId val="608291512"/>
      </c:scatterChart>
      <c:valAx>
        <c:axId val="608291512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numFmt formatCode="0.000" sourceLinked="1"/>
        <c:majorTickMark val="none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/>
            </a:pPr>
            <a:endParaRPr lang="pl-PL"/>
          </a:p>
        </c:txPr>
        <c:crossAx val="608291872"/>
        <c:crossesAt val="0"/>
        <c:crossBetween val="midCat"/>
      </c:valAx>
      <c:valAx>
        <c:axId val="608291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/>
            </a:pPr>
            <a:endParaRPr lang="pl-PL"/>
          </a:p>
        </c:txPr>
        <c:crossAx val="608291512"/>
        <c:crossesAt val="0"/>
        <c:crossBetween val="midCat"/>
      </c:valAx>
      <c:spPr>
        <a:noFill/>
        <a:ln>
          <a:solidFill>
            <a:srgbClr val="B3B3B3"/>
          </a:solidFill>
          <a:prstDash val="solid"/>
        </a:ln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sz="1000" b="0"/>
          </a:pPr>
          <a:endParaRPr lang="pl-PL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Arkusz03kg!$AK$7:$AK$12</c:f>
              <c:numCache>
                <c:formatCode>General</c:formatCode>
                <c:ptCount val="6"/>
                <c:pt idx="0">
                  <c:v>40</c:v>
                </c:pt>
                <c:pt idx="1">
                  <c:v>33.333333333333336</c:v>
                </c:pt>
                <c:pt idx="2">
                  <c:v>28.571428571428573</c:v>
                </c:pt>
                <c:pt idx="3">
                  <c:v>25</c:v>
                </c:pt>
                <c:pt idx="4">
                  <c:v>22.222222222222221</c:v>
                </c:pt>
                <c:pt idx="5">
                  <c:v>20</c:v>
                </c:pt>
              </c:numCache>
            </c:numRef>
          </c:xVal>
          <c:yVal>
            <c:numRef>
              <c:f>Arkusz03kg!$AN$7:$AN$12</c:f>
              <c:numCache>
                <c:formatCode>General</c:formatCode>
                <c:ptCount val="6"/>
                <c:pt idx="0">
                  <c:v>322768.90000000002</c:v>
                </c:pt>
                <c:pt idx="1">
                  <c:v>330114.8</c:v>
                </c:pt>
                <c:pt idx="2">
                  <c:v>335254.3</c:v>
                </c:pt>
                <c:pt idx="3">
                  <c:v>336218.2</c:v>
                </c:pt>
                <c:pt idx="4">
                  <c:v>335798.3</c:v>
                </c:pt>
                <c:pt idx="5">
                  <c:v>338298.4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0CD-4D61-BA83-0FCC6296DE53}"/>
            </c:ext>
          </c:extLst>
        </c:ser>
        <c:ser>
          <c:idx val="3"/>
          <c:order val="1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Arkusz03kg!$AK$7:$AK$12</c:f>
              <c:numCache>
                <c:formatCode>General</c:formatCode>
                <c:ptCount val="6"/>
                <c:pt idx="0">
                  <c:v>40</c:v>
                </c:pt>
                <c:pt idx="1">
                  <c:v>33.333333333333336</c:v>
                </c:pt>
                <c:pt idx="2">
                  <c:v>28.571428571428573</c:v>
                </c:pt>
                <c:pt idx="3">
                  <c:v>25</c:v>
                </c:pt>
                <c:pt idx="4">
                  <c:v>22.222222222222221</c:v>
                </c:pt>
                <c:pt idx="5">
                  <c:v>20</c:v>
                </c:pt>
              </c:numCache>
            </c:numRef>
          </c:xVal>
          <c:yVal>
            <c:numRef>
              <c:f>Arkusz03kg!$AO$7:$AO$12</c:f>
              <c:numCache>
                <c:formatCode>General</c:formatCode>
                <c:ptCount val="6"/>
                <c:pt idx="0">
                  <c:v>347227.3</c:v>
                </c:pt>
                <c:pt idx="1">
                  <c:v>354157.9</c:v>
                </c:pt>
                <c:pt idx="2">
                  <c:v>359126.6</c:v>
                </c:pt>
                <c:pt idx="3">
                  <c:v>359916.9</c:v>
                </c:pt>
                <c:pt idx="4">
                  <c:v>359524.1</c:v>
                </c:pt>
                <c:pt idx="5">
                  <c:v>361882.6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0CD-4D61-BA83-0FCC6296DE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2314672"/>
        <c:axId val="322316472"/>
      </c:scatterChart>
      <c:valAx>
        <c:axId val="322314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22316472"/>
        <c:crosses val="autoZero"/>
        <c:crossBetween val="midCat"/>
      </c:valAx>
      <c:valAx>
        <c:axId val="322316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223146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Arkusz03kg!$AZ$5</c:f>
              <c:strCache>
                <c:ptCount val="1"/>
                <c:pt idx="0">
                  <c:v>Inlet-static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Arkusz03kg!$AW$7:$AW$12</c:f>
              <c:numCache>
                <c:formatCode>General</c:formatCode>
                <c:ptCount val="6"/>
                <c:pt idx="0">
                  <c:v>40</c:v>
                </c:pt>
                <c:pt idx="1">
                  <c:v>33.333333333333336</c:v>
                </c:pt>
                <c:pt idx="2">
                  <c:v>28.571428571428573</c:v>
                </c:pt>
                <c:pt idx="3">
                  <c:v>25</c:v>
                </c:pt>
                <c:pt idx="4">
                  <c:v>22.222222222222221</c:v>
                </c:pt>
                <c:pt idx="5">
                  <c:v>20</c:v>
                </c:pt>
              </c:numCache>
            </c:numRef>
          </c:xVal>
          <c:yVal>
            <c:numRef>
              <c:f>Arkusz03kg!$AZ$7:$AZ$12</c:f>
              <c:numCache>
                <c:formatCode>General</c:formatCode>
                <c:ptCount val="6"/>
                <c:pt idx="0">
                  <c:v>323032.09999999998</c:v>
                </c:pt>
                <c:pt idx="1">
                  <c:v>321579.09999999998</c:v>
                </c:pt>
                <c:pt idx="2">
                  <c:v>331944.7</c:v>
                </c:pt>
                <c:pt idx="3">
                  <c:v>330412.90000000002</c:v>
                </c:pt>
                <c:pt idx="4">
                  <c:v>347118.8</c:v>
                </c:pt>
                <c:pt idx="5">
                  <c:v>347087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B46-4407-8DD4-2CD8CB8D810A}"/>
            </c:ext>
          </c:extLst>
        </c:ser>
        <c:ser>
          <c:idx val="3"/>
          <c:order val="1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Arkusz03kg!$AW$7:$AW$12</c:f>
              <c:numCache>
                <c:formatCode>General</c:formatCode>
                <c:ptCount val="6"/>
                <c:pt idx="0">
                  <c:v>40</c:v>
                </c:pt>
                <c:pt idx="1">
                  <c:v>33.333333333333336</c:v>
                </c:pt>
                <c:pt idx="2">
                  <c:v>28.571428571428573</c:v>
                </c:pt>
                <c:pt idx="3">
                  <c:v>25</c:v>
                </c:pt>
                <c:pt idx="4">
                  <c:v>22.222222222222221</c:v>
                </c:pt>
                <c:pt idx="5">
                  <c:v>20</c:v>
                </c:pt>
              </c:numCache>
            </c:numRef>
          </c:xVal>
          <c:yVal>
            <c:numRef>
              <c:f>Arkusz03kg!$BA$7:$BA$12</c:f>
              <c:numCache>
                <c:formatCode>General</c:formatCode>
                <c:ptCount val="6"/>
                <c:pt idx="0">
                  <c:v>347475.8</c:v>
                </c:pt>
                <c:pt idx="1">
                  <c:v>346111.2</c:v>
                </c:pt>
                <c:pt idx="2">
                  <c:v>356000.1</c:v>
                </c:pt>
                <c:pt idx="3">
                  <c:v>354433.2</c:v>
                </c:pt>
                <c:pt idx="4">
                  <c:v>370240.8</c:v>
                </c:pt>
                <c:pt idx="5">
                  <c:v>370205.5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B46-4407-8DD4-2CD8CB8D81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2314672"/>
        <c:axId val="322316472"/>
      </c:scatterChart>
      <c:valAx>
        <c:axId val="322314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22316472"/>
        <c:crosses val="autoZero"/>
        <c:crossBetween val="midCat"/>
      </c:valAx>
      <c:valAx>
        <c:axId val="322316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223146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Zależność ciśnienia</a:t>
            </a:r>
            <a:r>
              <a:rPr lang="pl-PL" baseline="0"/>
              <a:t> statycznego na wlocie od wysokości kanału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Arkusz03kg!$AK$42</c:f>
              <c:strCache>
                <c:ptCount val="1"/>
                <c:pt idx="0">
                  <c:v>0 kierownic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Arkusz03kg!$AJ$43:$AJ$48</c:f>
              <c:numCache>
                <c:formatCode>0.00</c:formatCode>
                <c:ptCount val="6"/>
                <c:pt idx="0" formatCode="General">
                  <c:v>40</c:v>
                </c:pt>
                <c:pt idx="1">
                  <c:v>33.333333333333336</c:v>
                </c:pt>
                <c:pt idx="2">
                  <c:v>28.571428571428573</c:v>
                </c:pt>
                <c:pt idx="3" formatCode="General">
                  <c:v>25</c:v>
                </c:pt>
                <c:pt idx="4">
                  <c:v>22.222222222222221</c:v>
                </c:pt>
                <c:pt idx="5" formatCode="General">
                  <c:v>20</c:v>
                </c:pt>
              </c:numCache>
            </c:numRef>
          </c:xVal>
          <c:yVal>
            <c:numRef>
              <c:f>Arkusz03kg!$AK$43:$AK$48</c:f>
              <c:numCache>
                <c:formatCode>0.0000</c:formatCode>
                <c:ptCount val="6"/>
                <c:pt idx="0">
                  <c:v>3.7535740000000004</c:v>
                </c:pt>
                <c:pt idx="1">
                  <c:v>3.7229044</c:v>
                </c:pt>
                <c:pt idx="2">
                  <c:v>3.7117309999999999</c:v>
                </c:pt>
                <c:pt idx="3">
                  <c:v>3.7039895</c:v>
                </c:pt>
                <c:pt idx="4">
                  <c:v>3.6949520000000002</c:v>
                </c:pt>
                <c:pt idx="5">
                  <c:v>3.6867049999999999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947-4676-AC2D-CF780BEB4113}"/>
            </c:ext>
          </c:extLst>
        </c:ser>
        <c:ser>
          <c:idx val="1"/>
          <c:order val="1"/>
          <c:tx>
            <c:strRef>
              <c:f>Arkusz03kg!$AL$42</c:f>
              <c:strCache>
                <c:ptCount val="1"/>
                <c:pt idx="0">
                  <c:v>1 kierownica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Arkusz03kg!$AJ$43:$AJ$48</c:f>
              <c:numCache>
                <c:formatCode>0.00</c:formatCode>
                <c:ptCount val="6"/>
                <c:pt idx="0" formatCode="General">
                  <c:v>40</c:v>
                </c:pt>
                <c:pt idx="1">
                  <c:v>33.333333333333336</c:v>
                </c:pt>
                <c:pt idx="2">
                  <c:v>28.571428571428573</c:v>
                </c:pt>
                <c:pt idx="3" formatCode="General">
                  <c:v>25</c:v>
                </c:pt>
                <c:pt idx="4">
                  <c:v>22.222222222222221</c:v>
                </c:pt>
                <c:pt idx="5" formatCode="General">
                  <c:v>20</c:v>
                </c:pt>
              </c:numCache>
            </c:numRef>
          </c:xVal>
          <c:yVal>
            <c:numRef>
              <c:f>Arkusz03kg!$AL$43:$AL$48</c:f>
              <c:numCache>
                <c:formatCode>0.0000</c:formatCode>
                <c:ptCount val="6"/>
                <c:pt idx="0">
                  <c:v>3.2960370000000001</c:v>
                </c:pt>
                <c:pt idx="1">
                  <c:v>3.2867770000000003</c:v>
                </c:pt>
                <c:pt idx="2">
                  <c:v>3.2796440000000002</c:v>
                </c:pt>
                <c:pt idx="3">
                  <c:v>3.274105</c:v>
                </c:pt>
                <c:pt idx="4">
                  <c:v>3.2775159999999999</c:v>
                </c:pt>
                <c:pt idx="5">
                  <c:v>3.2586077000000002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947-4676-AC2D-CF780BEB4113}"/>
            </c:ext>
          </c:extLst>
        </c:ser>
        <c:ser>
          <c:idx val="2"/>
          <c:order val="2"/>
          <c:tx>
            <c:strRef>
              <c:f>Arkusz03kg!$AM$42</c:f>
              <c:strCache>
                <c:ptCount val="1"/>
                <c:pt idx="0">
                  <c:v>2 kierownice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Arkusz03kg!$AJ$43:$AJ$48</c:f>
              <c:numCache>
                <c:formatCode>0.00</c:formatCode>
                <c:ptCount val="6"/>
                <c:pt idx="0" formatCode="General">
                  <c:v>40</c:v>
                </c:pt>
                <c:pt idx="1">
                  <c:v>33.333333333333336</c:v>
                </c:pt>
                <c:pt idx="2">
                  <c:v>28.571428571428573</c:v>
                </c:pt>
                <c:pt idx="3" formatCode="General">
                  <c:v>25</c:v>
                </c:pt>
                <c:pt idx="4">
                  <c:v>22.222222222222221</c:v>
                </c:pt>
                <c:pt idx="5" formatCode="General">
                  <c:v>20</c:v>
                </c:pt>
              </c:numCache>
            </c:numRef>
          </c:xVal>
          <c:yVal>
            <c:numRef>
              <c:f>Arkusz03kg!$AM$43:$AM$48</c:f>
              <c:numCache>
                <c:formatCode>0.0000</c:formatCode>
                <c:ptCount val="6"/>
                <c:pt idx="0">
                  <c:v>3.2276890000000003</c:v>
                </c:pt>
                <c:pt idx="1">
                  <c:v>3.301148</c:v>
                </c:pt>
                <c:pt idx="2">
                  <c:v>3.3525429999999998</c:v>
                </c:pt>
                <c:pt idx="3">
                  <c:v>3.3621820000000002</c:v>
                </c:pt>
                <c:pt idx="4">
                  <c:v>3.3579829999999999</c:v>
                </c:pt>
                <c:pt idx="5">
                  <c:v>3.3829840000000004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947-4676-AC2D-CF780BEB4113}"/>
            </c:ext>
          </c:extLst>
        </c:ser>
        <c:ser>
          <c:idx val="3"/>
          <c:order val="3"/>
          <c:tx>
            <c:strRef>
              <c:f>Arkusz03kg!$AN$42</c:f>
              <c:strCache>
                <c:ptCount val="1"/>
                <c:pt idx="0">
                  <c:v>3 kierownice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Arkusz03kg!$AJ$43:$AJ$48</c:f>
              <c:numCache>
                <c:formatCode>0.00</c:formatCode>
                <c:ptCount val="6"/>
                <c:pt idx="0" formatCode="General">
                  <c:v>40</c:v>
                </c:pt>
                <c:pt idx="1">
                  <c:v>33.333333333333336</c:v>
                </c:pt>
                <c:pt idx="2">
                  <c:v>28.571428571428573</c:v>
                </c:pt>
                <c:pt idx="3" formatCode="General">
                  <c:v>25</c:v>
                </c:pt>
                <c:pt idx="4">
                  <c:v>22.222222222222221</c:v>
                </c:pt>
                <c:pt idx="5" formatCode="General">
                  <c:v>20</c:v>
                </c:pt>
              </c:numCache>
            </c:numRef>
          </c:xVal>
          <c:yVal>
            <c:numRef>
              <c:f>Arkusz03kg!$AN$43:$AN$48</c:f>
              <c:numCache>
                <c:formatCode>0.0000</c:formatCode>
                <c:ptCount val="6"/>
                <c:pt idx="0">
                  <c:v>3.2303209999999996</c:v>
                </c:pt>
                <c:pt idx="1">
                  <c:v>3.2157909999999998</c:v>
                </c:pt>
                <c:pt idx="2">
                  <c:v>3.3194470000000003</c:v>
                </c:pt>
                <c:pt idx="3">
                  <c:v>3.3041290000000001</c:v>
                </c:pt>
                <c:pt idx="4">
                  <c:v>3.4711879999999997</c:v>
                </c:pt>
                <c:pt idx="5">
                  <c:v>3.4708700000000001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947-4676-AC2D-CF780BEB41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3388544"/>
        <c:axId val="623917272"/>
      </c:scatterChart>
      <c:valAx>
        <c:axId val="633388544"/>
        <c:scaling>
          <c:orientation val="minMax"/>
          <c:max val="40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wysokość</a:t>
                </a:r>
                <a:r>
                  <a:rPr lang="pl-PL" baseline="0"/>
                  <a:t> kanału [mm]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23917272"/>
        <c:crosses val="autoZero"/>
        <c:crossBetween val="midCat"/>
      </c:valAx>
      <c:valAx>
        <c:axId val="623917272"/>
        <c:scaling>
          <c:orientation val="minMax"/>
          <c:max val="3.8"/>
          <c:min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ciśnienie statyczne na wlocie [bar]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333885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Zależność ciśnienia</a:t>
            </a:r>
            <a:r>
              <a:rPr lang="pl-PL" baseline="0"/>
              <a:t> całkowitego na wlocie od wysokości kanału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Arkusz03kg!$AK$79</c:f>
              <c:strCache>
                <c:ptCount val="1"/>
                <c:pt idx="0">
                  <c:v>0 kierownic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Arkusz03kg!$AJ$43:$AJ$48</c:f>
              <c:numCache>
                <c:formatCode>0.00</c:formatCode>
                <c:ptCount val="6"/>
                <c:pt idx="0" formatCode="General">
                  <c:v>40</c:v>
                </c:pt>
                <c:pt idx="1">
                  <c:v>33.333333333333336</c:v>
                </c:pt>
                <c:pt idx="2">
                  <c:v>28.571428571428573</c:v>
                </c:pt>
                <c:pt idx="3" formatCode="General">
                  <c:v>25</c:v>
                </c:pt>
                <c:pt idx="4">
                  <c:v>22.222222222222221</c:v>
                </c:pt>
                <c:pt idx="5" formatCode="General">
                  <c:v>20</c:v>
                </c:pt>
              </c:numCache>
            </c:numRef>
          </c:xVal>
          <c:yVal>
            <c:numRef>
              <c:f>Arkusz03kg!$AK$80:$AK$85</c:f>
              <c:numCache>
                <c:formatCode>0.0000</c:formatCode>
                <c:ptCount val="6"/>
                <c:pt idx="0">
                  <c:v>3.9710359999999998</c:v>
                </c:pt>
                <c:pt idx="1">
                  <c:v>3.9418209999999996</c:v>
                </c:pt>
                <c:pt idx="2">
                  <c:v>3.9322279999999998</c:v>
                </c:pt>
                <c:pt idx="3">
                  <c:v>3.9237639</c:v>
                </c:pt>
                <c:pt idx="4">
                  <c:v>3.915124</c:v>
                </c:pt>
                <c:pt idx="5">
                  <c:v>3.907222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F7C-4A56-9F6C-861641DBBB46}"/>
            </c:ext>
          </c:extLst>
        </c:ser>
        <c:ser>
          <c:idx val="1"/>
          <c:order val="1"/>
          <c:tx>
            <c:strRef>
              <c:f>Arkusz03kg!$AL$79</c:f>
              <c:strCache>
                <c:ptCount val="1"/>
                <c:pt idx="0">
                  <c:v>1 kierownica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Arkusz03kg!$AJ$43:$AJ$48</c:f>
              <c:numCache>
                <c:formatCode>0.00</c:formatCode>
                <c:ptCount val="6"/>
                <c:pt idx="0" formatCode="General">
                  <c:v>40</c:v>
                </c:pt>
                <c:pt idx="1">
                  <c:v>33.333333333333336</c:v>
                </c:pt>
                <c:pt idx="2">
                  <c:v>28.571428571428573</c:v>
                </c:pt>
                <c:pt idx="3" formatCode="General">
                  <c:v>25</c:v>
                </c:pt>
                <c:pt idx="4">
                  <c:v>22.222222222222221</c:v>
                </c:pt>
                <c:pt idx="5" formatCode="General">
                  <c:v>20</c:v>
                </c:pt>
              </c:numCache>
            </c:numRef>
          </c:xVal>
          <c:yVal>
            <c:numRef>
              <c:f>Arkusz03kg!$AL$80:$AL$85</c:f>
              <c:numCache>
                <c:formatCode>0.0000</c:formatCode>
                <c:ptCount val="6"/>
                <c:pt idx="0">
                  <c:v>3.5367099999999998</c:v>
                </c:pt>
                <c:pt idx="1">
                  <c:v>3.5280159999999996</c:v>
                </c:pt>
                <c:pt idx="2">
                  <c:v>3.5224509999999998</c:v>
                </c:pt>
                <c:pt idx="3">
                  <c:v>3.516003</c:v>
                </c:pt>
                <c:pt idx="4">
                  <c:v>3.5192590000000004</c:v>
                </c:pt>
                <c:pt idx="5">
                  <c:v>3.5013726000000003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F7C-4A56-9F6C-861641DBBB46}"/>
            </c:ext>
          </c:extLst>
        </c:ser>
        <c:ser>
          <c:idx val="2"/>
          <c:order val="2"/>
          <c:tx>
            <c:strRef>
              <c:f>Arkusz03kg!$AM$79</c:f>
              <c:strCache>
                <c:ptCount val="1"/>
                <c:pt idx="0">
                  <c:v>2 kierownice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Arkusz03kg!$AJ$43:$AJ$48</c:f>
              <c:numCache>
                <c:formatCode>0.00</c:formatCode>
                <c:ptCount val="6"/>
                <c:pt idx="0" formatCode="General">
                  <c:v>40</c:v>
                </c:pt>
                <c:pt idx="1">
                  <c:v>33.333333333333336</c:v>
                </c:pt>
                <c:pt idx="2">
                  <c:v>28.571428571428573</c:v>
                </c:pt>
                <c:pt idx="3" formatCode="General">
                  <c:v>25</c:v>
                </c:pt>
                <c:pt idx="4">
                  <c:v>22.222222222222221</c:v>
                </c:pt>
                <c:pt idx="5" formatCode="General">
                  <c:v>20</c:v>
                </c:pt>
              </c:numCache>
            </c:numRef>
          </c:xVal>
          <c:yVal>
            <c:numRef>
              <c:f>Arkusz03kg!$AM$80:$AM$85</c:f>
              <c:numCache>
                <c:formatCode>0.0000</c:formatCode>
                <c:ptCount val="6"/>
                <c:pt idx="0">
                  <c:v>3.4722729999999999</c:v>
                </c:pt>
                <c:pt idx="1">
                  <c:v>3.541579</c:v>
                </c:pt>
                <c:pt idx="2">
                  <c:v>3.5912659999999996</c:v>
                </c:pt>
                <c:pt idx="3">
                  <c:v>3.5991690000000003</c:v>
                </c:pt>
                <c:pt idx="4">
                  <c:v>3.5952409999999997</c:v>
                </c:pt>
                <c:pt idx="5">
                  <c:v>3.6188259999999999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F7C-4A56-9F6C-861641DBBB46}"/>
            </c:ext>
          </c:extLst>
        </c:ser>
        <c:ser>
          <c:idx val="3"/>
          <c:order val="3"/>
          <c:tx>
            <c:strRef>
              <c:f>Arkusz03kg!$AN$79</c:f>
              <c:strCache>
                <c:ptCount val="1"/>
                <c:pt idx="0">
                  <c:v>3 kierownice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Arkusz03kg!$AJ$43:$AJ$48</c:f>
              <c:numCache>
                <c:formatCode>0.00</c:formatCode>
                <c:ptCount val="6"/>
                <c:pt idx="0" formatCode="General">
                  <c:v>40</c:v>
                </c:pt>
                <c:pt idx="1">
                  <c:v>33.333333333333336</c:v>
                </c:pt>
                <c:pt idx="2">
                  <c:v>28.571428571428573</c:v>
                </c:pt>
                <c:pt idx="3" formatCode="General">
                  <c:v>25</c:v>
                </c:pt>
                <c:pt idx="4">
                  <c:v>22.222222222222221</c:v>
                </c:pt>
                <c:pt idx="5" formatCode="General">
                  <c:v>20</c:v>
                </c:pt>
              </c:numCache>
            </c:numRef>
          </c:xVal>
          <c:yVal>
            <c:numRef>
              <c:f>Arkusz03kg!$AN$80:$AN$85</c:f>
              <c:numCache>
                <c:formatCode>0.0000</c:formatCode>
                <c:ptCount val="6"/>
                <c:pt idx="0">
                  <c:v>3.474758</c:v>
                </c:pt>
                <c:pt idx="1">
                  <c:v>3.461112</c:v>
                </c:pt>
                <c:pt idx="2">
                  <c:v>3.5600009999999997</c:v>
                </c:pt>
                <c:pt idx="3">
                  <c:v>3.5443320000000003</c:v>
                </c:pt>
                <c:pt idx="4">
                  <c:v>3.7024079999999997</c:v>
                </c:pt>
                <c:pt idx="5">
                  <c:v>3.7020550000000001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F7C-4A56-9F6C-861641DBBB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3388544"/>
        <c:axId val="623917272"/>
      </c:scatterChart>
      <c:valAx>
        <c:axId val="633388544"/>
        <c:scaling>
          <c:orientation val="minMax"/>
          <c:max val="40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wysokość</a:t>
                </a:r>
                <a:r>
                  <a:rPr lang="pl-PL" baseline="0"/>
                  <a:t> kanału [mm]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23917272"/>
        <c:crosses val="autoZero"/>
        <c:crossBetween val="midCat"/>
      </c:valAx>
      <c:valAx>
        <c:axId val="623917272"/>
        <c:scaling>
          <c:orientation val="minMax"/>
          <c:max val="4"/>
          <c:min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/>
                  <a:t>ciśnienie </a:t>
                </a:r>
                <a:r>
                  <a:rPr lang="pl-PL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całkowite </a:t>
                </a:r>
                <a:r>
                  <a:rPr lang="pl-PL" sz="1000"/>
                  <a:t>na wlocie [bar]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333885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Zależność ciśnienia</a:t>
            </a:r>
            <a:r>
              <a:rPr lang="pl-PL" baseline="0"/>
              <a:t> dynamicznego na wlocie od wysokości kanału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Arkusz03kg!$AK$116</c:f>
              <c:strCache>
                <c:ptCount val="1"/>
                <c:pt idx="0">
                  <c:v>0 kierownic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Arkusz03kg!$AJ$43:$AJ$48</c:f>
              <c:numCache>
                <c:formatCode>0.00</c:formatCode>
                <c:ptCount val="6"/>
                <c:pt idx="0" formatCode="General">
                  <c:v>40</c:v>
                </c:pt>
                <c:pt idx="1">
                  <c:v>33.333333333333336</c:v>
                </c:pt>
                <c:pt idx="2">
                  <c:v>28.571428571428573</c:v>
                </c:pt>
                <c:pt idx="3" formatCode="General">
                  <c:v>25</c:v>
                </c:pt>
                <c:pt idx="4">
                  <c:v>22.222222222222221</c:v>
                </c:pt>
                <c:pt idx="5" formatCode="General">
                  <c:v>20</c:v>
                </c:pt>
              </c:numCache>
            </c:numRef>
          </c:xVal>
          <c:yVal>
            <c:numRef>
              <c:f>Arkusz03kg!$AK$117:$AK$122</c:f>
              <c:numCache>
                <c:formatCode>0.0000</c:formatCode>
                <c:ptCount val="6"/>
                <c:pt idx="0">
                  <c:v>0.21746199999999954</c:v>
                </c:pt>
                <c:pt idx="1">
                  <c:v>0.21891659999999974</c:v>
                </c:pt>
                <c:pt idx="2">
                  <c:v>0.22049700000000011</c:v>
                </c:pt>
                <c:pt idx="3">
                  <c:v>0.21977440000000004</c:v>
                </c:pt>
                <c:pt idx="4">
                  <c:v>0.22017200000000012</c:v>
                </c:pt>
                <c:pt idx="5">
                  <c:v>0.22051700000000013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8B-434A-B364-6971C0814EED}"/>
            </c:ext>
          </c:extLst>
        </c:ser>
        <c:ser>
          <c:idx val="1"/>
          <c:order val="1"/>
          <c:tx>
            <c:strRef>
              <c:f>Arkusz03kg!$AL$116</c:f>
              <c:strCache>
                <c:ptCount val="1"/>
                <c:pt idx="0">
                  <c:v>1 kierownica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Arkusz03kg!$AJ$43:$AJ$48</c:f>
              <c:numCache>
                <c:formatCode>0.00</c:formatCode>
                <c:ptCount val="6"/>
                <c:pt idx="0" formatCode="General">
                  <c:v>40</c:v>
                </c:pt>
                <c:pt idx="1">
                  <c:v>33.333333333333336</c:v>
                </c:pt>
                <c:pt idx="2">
                  <c:v>28.571428571428573</c:v>
                </c:pt>
                <c:pt idx="3" formatCode="General">
                  <c:v>25</c:v>
                </c:pt>
                <c:pt idx="4">
                  <c:v>22.222222222222221</c:v>
                </c:pt>
                <c:pt idx="5" formatCode="General">
                  <c:v>20</c:v>
                </c:pt>
              </c:numCache>
            </c:numRef>
          </c:xVal>
          <c:yVal>
            <c:numRef>
              <c:f>Arkusz03kg!$AL$117:$AL$122</c:f>
              <c:numCache>
                <c:formatCode>0.0000</c:formatCode>
                <c:ptCount val="6"/>
                <c:pt idx="0">
                  <c:v>0.24067299999999989</c:v>
                </c:pt>
                <c:pt idx="1">
                  <c:v>0.24123899999999965</c:v>
                </c:pt>
                <c:pt idx="2">
                  <c:v>0.24280699999999952</c:v>
                </c:pt>
                <c:pt idx="3">
                  <c:v>0.24189799999999989</c:v>
                </c:pt>
                <c:pt idx="4">
                  <c:v>0.24174300000000046</c:v>
                </c:pt>
                <c:pt idx="5">
                  <c:v>0.24276489999999989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F8B-434A-B364-6971C0814EED}"/>
            </c:ext>
          </c:extLst>
        </c:ser>
        <c:ser>
          <c:idx val="2"/>
          <c:order val="2"/>
          <c:tx>
            <c:strRef>
              <c:f>Arkusz03kg!$AM$116</c:f>
              <c:strCache>
                <c:ptCount val="1"/>
                <c:pt idx="0">
                  <c:v>2 kierownice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Arkusz03kg!$AJ$43:$AJ$48</c:f>
              <c:numCache>
                <c:formatCode>0.00</c:formatCode>
                <c:ptCount val="6"/>
                <c:pt idx="0" formatCode="General">
                  <c:v>40</c:v>
                </c:pt>
                <c:pt idx="1">
                  <c:v>33.333333333333336</c:v>
                </c:pt>
                <c:pt idx="2">
                  <c:v>28.571428571428573</c:v>
                </c:pt>
                <c:pt idx="3" formatCode="General">
                  <c:v>25</c:v>
                </c:pt>
                <c:pt idx="4">
                  <c:v>22.222222222222221</c:v>
                </c:pt>
                <c:pt idx="5" formatCode="General">
                  <c:v>20</c:v>
                </c:pt>
              </c:numCache>
            </c:numRef>
          </c:xVal>
          <c:yVal>
            <c:numRef>
              <c:f>Arkusz03kg!$AM$117:$AM$122</c:f>
              <c:numCache>
                <c:formatCode>0.0000</c:formatCode>
                <c:ptCount val="6"/>
                <c:pt idx="0">
                  <c:v>0.24458399999999966</c:v>
                </c:pt>
                <c:pt idx="1">
                  <c:v>0.24043100000000034</c:v>
                </c:pt>
                <c:pt idx="2">
                  <c:v>0.23872299999999988</c:v>
                </c:pt>
                <c:pt idx="3">
                  <c:v>0.23698700000000011</c:v>
                </c:pt>
                <c:pt idx="4">
                  <c:v>0.23725799999999989</c:v>
                </c:pt>
                <c:pt idx="5">
                  <c:v>0.23584199999999952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F8B-434A-B364-6971C0814EED}"/>
            </c:ext>
          </c:extLst>
        </c:ser>
        <c:ser>
          <c:idx val="3"/>
          <c:order val="3"/>
          <c:tx>
            <c:strRef>
              <c:f>Arkusz03kg!$AN$116</c:f>
              <c:strCache>
                <c:ptCount val="1"/>
                <c:pt idx="0">
                  <c:v>3 kierownice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Arkusz03kg!$AJ$43:$AJ$48</c:f>
              <c:numCache>
                <c:formatCode>0.00</c:formatCode>
                <c:ptCount val="6"/>
                <c:pt idx="0" formatCode="General">
                  <c:v>40</c:v>
                </c:pt>
                <c:pt idx="1">
                  <c:v>33.333333333333336</c:v>
                </c:pt>
                <c:pt idx="2">
                  <c:v>28.571428571428573</c:v>
                </c:pt>
                <c:pt idx="3" formatCode="General">
                  <c:v>25</c:v>
                </c:pt>
                <c:pt idx="4">
                  <c:v>22.222222222222221</c:v>
                </c:pt>
                <c:pt idx="5" formatCode="General">
                  <c:v>20</c:v>
                </c:pt>
              </c:numCache>
            </c:numRef>
          </c:xVal>
          <c:yVal>
            <c:numRef>
              <c:f>Arkusz03kg!$AN$117:$AN$122</c:f>
              <c:numCache>
                <c:formatCode>0.0000</c:formatCode>
                <c:ptCount val="6"/>
                <c:pt idx="0">
                  <c:v>0.24443700000000013</c:v>
                </c:pt>
                <c:pt idx="1">
                  <c:v>0.24532100000000034</c:v>
                </c:pt>
                <c:pt idx="2">
                  <c:v>0.24055399999999966</c:v>
                </c:pt>
                <c:pt idx="3">
                  <c:v>0.24020299999999989</c:v>
                </c:pt>
                <c:pt idx="4">
                  <c:v>0.23122000000000001</c:v>
                </c:pt>
                <c:pt idx="5">
                  <c:v>0.231185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F8B-434A-B364-6971C0814E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3388544"/>
        <c:axId val="623917272"/>
      </c:scatterChart>
      <c:valAx>
        <c:axId val="633388544"/>
        <c:scaling>
          <c:orientation val="minMax"/>
          <c:max val="40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wysokość</a:t>
                </a:r>
                <a:r>
                  <a:rPr lang="pl-PL" baseline="0"/>
                  <a:t> kanału [mm]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23917272"/>
        <c:crosses val="autoZero"/>
        <c:crossBetween val="midCat"/>
      </c:valAx>
      <c:valAx>
        <c:axId val="623917272"/>
        <c:scaling>
          <c:orientation val="minMax"/>
          <c:min val="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/>
                  <a:t>ciśnienie </a:t>
                </a:r>
                <a:r>
                  <a:rPr lang="pl-PL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dynamiczne </a:t>
                </a:r>
                <a:r>
                  <a:rPr lang="pl-PL" sz="1000"/>
                  <a:t>na wlocie [bar]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333885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Arkusz03kg!$BX$35</c:f>
              <c:strCache>
                <c:ptCount val="1"/>
                <c:pt idx="0">
                  <c:v>0 kierownic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Arkusz03kg!$BW$36:$BW$41</c:f>
              <c:numCache>
                <c:formatCode>General</c:formatCode>
                <c:ptCount val="6"/>
                <c:pt idx="0">
                  <c:v>40</c:v>
                </c:pt>
                <c:pt idx="1">
                  <c:v>33.333333333333336</c:v>
                </c:pt>
                <c:pt idx="2">
                  <c:v>28.571428571428573</c:v>
                </c:pt>
                <c:pt idx="3">
                  <c:v>25</c:v>
                </c:pt>
                <c:pt idx="4">
                  <c:v>22.222222222222221</c:v>
                </c:pt>
                <c:pt idx="5">
                  <c:v>20</c:v>
                </c:pt>
              </c:numCache>
            </c:numRef>
          </c:xVal>
          <c:yVal>
            <c:numRef>
              <c:f>Arkusz03kg!$BX$36:$BX$41</c:f>
              <c:numCache>
                <c:formatCode>0.00</c:formatCode>
                <c:ptCount val="6"/>
                <c:pt idx="0">
                  <c:v>100</c:v>
                </c:pt>
                <c:pt idx="1">
                  <c:v>95.930114361695018</c:v>
                </c:pt>
                <c:pt idx="2">
                  <c:v>94.447393354866222</c:v>
                </c:pt>
                <c:pt idx="3">
                  <c:v>93.420088803488397</c:v>
                </c:pt>
                <c:pt idx="4">
                  <c:v>92.220803796309298</c:v>
                </c:pt>
                <c:pt idx="5">
                  <c:v>91.126418905110782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A40-46A2-A942-DDA48964B743}"/>
            </c:ext>
          </c:extLst>
        </c:ser>
        <c:ser>
          <c:idx val="1"/>
          <c:order val="1"/>
          <c:tx>
            <c:strRef>
              <c:f>Arkusz03kg!$BY$35</c:f>
              <c:strCache>
                <c:ptCount val="1"/>
                <c:pt idx="0">
                  <c:v>1 kierownica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Arkusz03kg!$BW$36:$BW$41</c:f>
              <c:numCache>
                <c:formatCode>General</c:formatCode>
                <c:ptCount val="6"/>
                <c:pt idx="0">
                  <c:v>40</c:v>
                </c:pt>
                <c:pt idx="1">
                  <c:v>33.333333333333336</c:v>
                </c:pt>
                <c:pt idx="2">
                  <c:v>28.571428571428573</c:v>
                </c:pt>
                <c:pt idx="3">
                  <c:v>25</c:v>
                </c:pt>
                <c:pt idx="4">
                  <c:v>22.222222222222221</c:v>
                </c:pt>
                <c:pt idx="5">
                  <c:v>20</c:v>
                </c:pt>
              </c:numCache>
            </c:numRef>
          </c:xVal>
          <c:yVal>
            <c:numRef>
              <c:f>Arkusz03kg!$BY$36:$BY$41</c:f>
              <c:numCache>
                <c:formatCode>0.00</c:formatCode>
                <c:ptCount val="6"/>
                <c:pt idx="0">
                  <c:v>39.284396754665096</c:v>
                </c:pt>
                <c:pt idx="1">
                  <c:v>38.055585781887395</c:v>
                </c:pt>
                <c:pt idx="2">
                  <c:v>37.109029770135393</c:v>
                </c:pt>
                <c:pt idx="3">
                  <c:v>36.373999102941433</c:v>
                </c:pt>
                <c:pt idx="4">
                  <c:v>36.826642108140639</c:v>
                </c:pt>
                <c:pt idx="5">
                  <c:v>34.317492376329348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A40-46A2-A942-DDA48964B743}"/>
            </c:ext>
          </c:extLst>
        </c:ser>
        <c:ser>
          <c:idx val="2"/>
          <c:order val="2"/>
          <c:tx>
            <c:strRef>
              <c:f>Arkusz03kg!$BZ$35</c:f>
              <c:strCache>
                <c:ptCount val="1"/>
                <c:pt idx="0">
                  <c:v>2 kierownice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Arkusz03kg!$BW$36:$BW$41</c:f>
              <c:numCache>
                <c:formatCode>General</c:formatCode>
                <c:ptCount val="6"/>
                <c:pt idx="0">
                  <c:v>40</c:v>
                </c:pt>
                <c:pt idx="1">
                  <c:v>33.333333333333336</c:v>
                </c:pt>
                <c:pt idx="2">
                  <c:v>28.571428571428573</c:v>
                </c:pt>
                <c:pt idx="3">
                  <c:v>25</c:v>
                </c:pt>
                <c:pt idx="4">
                  <c:v>22.222222222222221</c:v>
                </c:pt>
                <c:pt idx="5">
                  <c:v>20</c:v>
                </c:pt>
              </c:numCache>
            </c:numRef>
          </c:xVal>
          <c:yVal>
            <c:numRef>
              <c:f>Arkusz03kg!$BZ$36:$BZ$41</c:f>
              <c:numCache>
                <c:formatCode>0.00</c:formatCode>
                <c:ptCount val="6"/>
                <c:pt idx="0">
                  <c:v>30.214550926650887</c:v>
                </c:pt>
                <c:pt idx="1">
                  <c:v>39.962631407134509</c:v>
                </c:pt>
                <c:pt idx="2">
                  <c:v>46.782797707988813</c:v>
                </c:pt>
                <c:pt idx="3">
                  <c:v>48.061902348010946</c:v>
                </c:pt>
                <c:pt idx="4">
                  <c:v>47.504690979253496</c:v>
                </c:pt>
                <c:pt idx="5">
                  <c:v>50.822347904784429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A40-46A2-A942-DDA48964B743}"/>
            </c:ext>
          </c:extLst>
        </c:ser>
        <c:ser>
          <c:idx val="3"/>
          <c:order val="3"/>
          <c:tx>
            <c:strRef>
              <c:f>Arkusz03kg!$CA$35</c:f>
              <c:strCache>
                <c:ptCount val="1"/>
                <c:pt idx="0">
                  <c:v>3 kierownice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Arkusz03kg!$BW$36:$BW$41</c:f>
              <c:numCache>
                <c:formatCode>General</c:formatCode>
                <c:ptCount val="6"/>
                <c:pt idx="0">
                  <c:v>40</c:v>
                </c:pt>
                <c:pt idx="1">
                  <c:v>33.333333333333336</c:v>
                </c:pt>
                <c:pt idx="2">
                  <c:v>28.571428571428573</c:v>
                </c:pt>
                <c:pt idx="3">
                  <c:v>25</c:v>
                </c:pt>
                <c:pt idx="4">
                  <c:v>22.222222222222221</c:v>
                </c:pt>
                <c:pt idx="5">
                  <c:v>20</c:v>
                </c:pt>
              </c:numCache>
            </c:numRef>
          </c:xVal>
          <c:yVal>
            <c:numRef>
              <c:f>Arkusz03kg!$CA$36:$CA$41</c:f>
              <c:numCache>
                <c:formatCode>0.00</c:formatCode>
                <c:ptCount val="6"/>
                <c:pt idx="0">
                  <c:v>30.563819877012666</c:v>
                </c:pt>
                <c:pt idx="1">
                  <c:v>28.635674797697337</c:v>
                </c:pt>
                <c:pt idx="2">
                  <c:v>42.390926438544867</c:v>
                </c:pt>
                <c:pt idx="3">
                  <c:v>40.358212995671281</c:v>
                </c:pt>
                <c:pt idx="4">
                  <c:v>62.527104172914591</c:v>
                </c:pt>
                <c:pt idx="5">
                  <c:v>62.48490526477822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A40-46A2-A942-DDA48964B7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5756520"/>
        <c:axId val="345756880"/>
      </c:scatterChart>
      <c:valAx>
        <c:axId val="345756520"/>
        <c:scaling>
          <c:orientation val="minMax"/>
          <c:max val="40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45756880"/>
        <c:crosses val="autoZero"/>
        <c:crossBetween val="midCat"/>
      </c:valAx>
      <c:valAx>
        <c:axId val="345756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457565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movingAvg"/>
            <c:period val="2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xVal>
            <c:numRef>
              <c:f>'arkusz do profilu'!$F$4:$F$198</c:f>
              <c:numCache>
                <c:formatCode>General</c:formatCode>
                <c:ptCount val="195"/>
                <c:pt idx="0">
                  <c:v>0</c:v>
                </c:pt>
                <c:pt idx="1">
                  <c:v>2.7779999999999472E-4</c:v>
                </c:pt>
                <c:pt idx="2">
                  <c:v>5.5560000000004495E-4</c:v>
                </c:pt>
                <c:pt idx="3">
                  <c:v>8.3340000000003966E-4</c:v>
                </c:pt>
                <c:pt idx="4">
                  <c:v>1.1112000000000344E-3</c:v>
                </c:pt>
                <c:pt idx="5">
                  <c:v>1.3890000000000291E-3</c:v>
                </c:pt>
                <c:pt idx="6">
                  <c:v>1.6668000000000238E-3</c:v>
                </c:pt>
                <c:pt idx="7">
                  <c:v>1.9446000000000185E-3</c:v>
                </c:pt>
                <c:pt idx="8">
                  <c:v>2.2223000000000104E-3</c:v>
                </c:pt>
                <c:pt idx="9">
                  <c:v>2.5001000000000051E-3</c:v>
                </c:pt>
                <c:pt idx="10">
                  <c:v>2.7778999999999998E-3</c:v>
                </c:pt>
                <c:pt idx="11">
                  <c:v>3.0556999999999945E-3</c:v>
                </c:pt>
                <c:pt idx="12">
                  <c:v>3.3335000000000448E-3</c:v>
                </c:pt>
                <c:pt idx="13">
                  <c:v>3.6113000000000395E-3</c:v>
                </c:pt>
                <c:pt idx="14">
                  <c:v>3.8891000000000342E-3</c:v>
                </c:pt>
                <c:pt idx="15">
                  <c:v>4.1669000000000289E-3</c:v>
                </c:pt>
                <c:pt idx="16">
                  <c:v>4.4446000000000208E-3</c:v>
                </c:pt>
                <c:pt idx="17">
                  <c:v>4.7224000000000155E-3</c:v>
                </c:pt>
                <c:pt idx="18">
                  <c:v>5.0002000000000102E-3</c:v>
                </c:pt>
                <c:pt idx="19">
                  <c:v>5.2780000000000049E-3</c:v>
                </c:pt>
                <c:pt idx="20">
                  <c:v>5.5557999999999996E-3</c:v>
                </c:pt>
                <c:pt idx="21">
                  <c:v>5.8335999999999943E-3</c:v>
                </c:pt>
                <c:pt idx="22">
                  <c:v>6.1114000000000446E-3</c:v>
                </c:pt>
                <c:pt idx="23">
                  <c:v>6.3892000000000393E-3</c:v>
                </c:pt>
                <c:pt idx="24">
                  <c:v>6.6669000000000311E-3</c:v>
                </c:pt>
                <c:pt idx="25">
                  <c:v>6.9447000000000259E-3</c:v>
                </c:pt>
                <c:pt idx="26">
                  <c:v>7.2225000000000206E-3</c:v>
                </c:pt>
                <c:pt idx="27">
                  <c:v>7.5003000000000153E-3</c:v>
                </c:pt>
                <c:pt idx="28">
                  <c:v>7.77810000000001E-3</c:v>
                </c:pt>
                <c:pt idx="29">
                  <c:v>8.0559000000000047E-3</c:v>
                </c:pt>
                <c:pt idx="30">
                  <c:v>8.3336999999999994E-3</c:v>
                </c:pt>
                <c:pt idx="31">
                  <c:v>8.6114999999999942E-3</c:v>
                </c:pt>
                <c:pt idx="32">
                  <c:v>8.8892000000000415E-3</c:v>
                </c:pt>
                <c:pt idx="33">
                  <c:v>9.1670000000000362E-3</c:v>
                </c:pt>
                <c:pt idx="34">
                  <c:v>9.4448000000000309E-3</c:v>
                </c:pt>
                <c:pt idx="35">
                  <c:v>9.7226000000000257E-3</c:v>
                </c:pt>
                <c:pt idx="36">
                  <c:v>1.000040000000002E-2</c:v>
                </c:pt>
                <c:pt idx="37">
                  <c:v>1.0278200000000015E-2</c:v>
                </c:pt>
                <c:pt idx="38">
                  <c:v>1.055600000000001E-2</c:v>
                </c:pt>
                <c:pt idx="39">
                  <c:v>1.0833800000000005E-2</c:v>
                </c:pt>
                <c:pt idx="40">
                  <c:v>1.1111499999999996E-2</c:v>
                </c:pt>
                <c:pt idx="41">
                  <c:v>1.1389300000000047E-2</c:v>
                </c:pt>
                <c:pt idx="42">
                  <c:v>1.1667100000000041E-2</c:v>
                </c:pt>
                <c:pt idx="43">
                  <c:v>1.1944900000000036E-2</c:v>
                </c:pt>
                <c:pt idx="44">
                  <c:v>1.2222700000000031E-2</c:v>
                </c:pt>
                <c:pt idx="45">
                  <c:v>1.2500500000000025E-2</c:v>
                </c:pt>
                <c:pt idx="46">
                  <c:v>1.277830000000002E-2</c:v>
                </c:pt>
                <c:pt idx="47">
                  <c:v>1.3056100000000015E-2</c:v>
                </c:pt>
                <c:pt idx="48">
                  <c:v>1.3333800000000007E-2</c:v>
                </c:pt>
                <c:pt idx="49">
                  <c:v>1.3611600000000001E-2</c:v>
                </c:pt>
                <c:pt idx="50">
                  <c:v>1.3889399999999996E-2</c:v>
                </c:pt>
                <c:pt idx="51">
                  <c:v>1.4167200000000046E-2</c:v>
                </c:pt>
                <c:pt idx="52">
                  <c:v>1.4445000000000041E-2</c:v>
                </c:pt>
                <c:pt idx="53">
                  <c:v>1.4722800000000036E-2</c:v>
                </c:pt>
                <c:pt idx="54">
                  <c:v>1.5000600000000031E-2</c:v>
                </c:pt>
                <c:pt idx="55">
                  <c:v>1.5278400000000025E-2</c:v>
                </c:pt>
                <c:pt idx="56">
                  <c:v>1.5556100000000017E-2</c:v>
                </c:pt>
                <c:pt idx="57">
                  <c:v>1.5833900000000012E-2</c:v>
                </c:pt>
                <c:pt idx="58">
                  <c:v>1.6111700000000007E-2</c:v>
                </c:pt>
                <c:pt idx="59">
                  <c:v>1.6389500000000001E-2</c:v>
                </c:pt>
                <c:pt idx="60">
                  <c:v>1.6667299999999996E-2</c:v>
                </c:pt>
                <c:pt idx="61">
                  <c:v>1.6945100000000046E-2</c:v>
                </c:pt>
                <c:pt idx="62">
                  <c:v>1.7222900000000041E-2</c:v>
                </c:pt>
                <c:pt idx="63">
                  <c:v>1.7500700000000036E-2</c:v>
                </c:pt>
                <c:pt idx="64">
                  <c:v>1.7778400000000028E-2</c:v>
                </c:pt>
                <c:pt idx="65">
                  <c:v>1.8056200000000022E-2</c:v>
                </c:pt>
                <c:pt idx="66">
                  <c:v>1.8334000000000017E-2</c:v>
                </c:pt>
                <c:pt idx="67">
                  <c:v>1.8611800000000012E-2</c:v>
                </c:pt>
                <c:pt idx="68">
                  <c:v>1.8889600000000006E-2</c:v>
                </c:pt>
                <c:pt idx="69">
                  <c:v>1.9167400000000001E-2</c:v>
                </c:pt>
                <c:pt idx="70">
                  <c:v>1.9445199999999996E-2</c:v>
                </c:pt>
                <c:pt idx="71">
                  <c:v>1.9723000000000046E-2</c:v>
                </c:pt>
                <c:pt idx="72">
                  <c:v>2.0000700000000038E-2</c:v>
                </c:pt>
                <c:pt idx="73">
                  <c:v>2.0278500000000033E-2</c:v>
                </c:pt>
                <c:pt idx="74">
                  <c:v>2.0556300000000027E-2</c:v>
                </c:pt>
                <c:pt idx="75">
                  <c:v>2.0834100000000022E-2</c:v>
                </c:pt>
                <c:pt idx="76">
                  <c:v>2.1111900000000017E-2</c:v>
                </c:pt>
                <c:pt idx="77">
                  <c:v>2.1389700000000011E-2</c:v>
                </c:pt>
                <c:pt idx="78">
                  <c:v>2.1667500000000006E-2</c:v>
                </c:pt>
                <c:pt idx="79">
                  <c:v>2.1945300000000001E-2</c:v>
                </c:pt>
                <c:pt idx="80">
                  <c:v>2.2222999999999993E-2</c:v>
                </c:pt>
                <c:pt idx="81">
                  <c:v>2.2500800000000043E-2</c:v>
                </c:pt>
                <c:pt idx="82">
                  <c:v>2.2778600000000038E-2</c:v>
                </c:pt>
                <c:pt idx="83">
                  <c:v>2.3056400000000032E-2</c:v>
                </c:pt>
                <c:pt idx="84">
                  <c:v>2.3334200000000027E-2</c:v>
                </c:pt>
                <c:pt idx="85">
                  <c:v>2.3612000000000022E-2</c:v>
                </c:pt>
                <c:pt idx="86">
                  <c:v>2.3889800000000017E-2</c:v>
                </c:pt>
                <c:pt idx="87">
                  <c:v>2.4167600000000011E-2</c:v>
                </c:pt>
                <c:pt idx="88">
                  <c:v>2.4445300000000003E-2</c:v>
                </c:pt>
                <c:pt idx="89">
                  <c:v>2.4723099999999998E-2</c:v>
                </c:pt>
                <c:pt idx="90">
                  <c:v>2.5000899999999993E-2</c:v>
                </c:pt>
                <c:pt idx="91">
                  <c:v>2.5278700000000043E-2</c:v>
                </c:pt>
                <c:pt idx="92">
                  <c:v>2.5556500000000038E-2</c:v>
                </c:pt>
                <c:pt idx="93">
                  <c:v>2.5834300000000032E-2</c:v>
                </c:pt>
                <c:pt idx="94">
                  <c:v>2.6112100000000027E-2</c:v>
                </c:pt>
                <c:pt idx="95">
                  <c:v>2.6389900000000022E-2</c:v>
                </c:pt>
                <c:pt idx="96">
                  <c:v>2.6667600000000014E-2</c:v>
                </c:pt>
                <c:pt idx="97">
                  <c:v>2.6945400000000008E-2</c:v>
                </c:pt>
                <c:pt idx="98">
                  <c:v>2.7223200000000003E-2</c:v>
                </c:pt>
                <c:pt idx="99">
                  <c:v>2.7500999999999998E-2</c:v>
                </c:pt>
                <c:pt idx="100">
                  <c:v>2.7778799999999992E-2</c:v>
                </c:pt>
                <c:pt idx="101">
                  <c:v>2.8056600000000043E-2</c:v>
                </c:pt>
                <c:pt idx="102">
                  <c:v>2.8334400000000037E-2</c:v>
                </c:pt>
                <c:pt idx="103">
                  <c:v>2.8612200000000032E-2</c:v>
                </c:pt>
                <c:pt idx="104">
                  <c:v>2.8889900000000024E-2</c:v>
                </c:pt>
                <c:pt idx="105">
                  <c:v>2.9167700000000019E-2</c:v>
                </c:pt>
                <c:pt idx="106">
                  <c:v>2.9445500000000013E-2</c:v>
                </c:pt>
                <c:pt idx="107">
                  <c:v>2.9723300000000008E-2</c:v>
                </c:pt>
                <c:pt idx="108">
                  <c:v>3.0001100000000003E-2</c:v>
                </c:pt>
                <c:pt idx="109">
                  <c:v>3.0278899999999997E-2</c:v>
                </c:pt>
                <c:pt idx="110">
                  <c:v>3.0556699999999992E-2</c:v>
                </c:pt>
                <c:pt idx="111">
                  <c:v>3.0834500000000042E-2</c:v>
                </c:pt>
                <c:pt idx="112">
                  <c:v>3.1112200000000034E-2</c:v>
                </c:pt>
                <c:pt idx="113">
                  <c:v>3.1390000000000029E-2</c:v>
                </c:pt>
                <c:pt idx="114">
                  <c:v>3.1667800000000024E-2</c:v>
                </c:pt>
                <c:pt idx="115">
                  <c:v>3.1945600000000018E-2</c:v>
                </c:pt>
                <c:pt idx="116">
                  <c:v>3.2223400000000013E-2</c:v>
                </c:pt>
                <c:pt idx="117">
                  <c:v>3.2501200000000008E-2</c:v>
                </c:pt>
                <c:pt idx="118">
                  <c:v>3.2779000000000003E-2</c:v>
                </c:pt>
                <c:pt idx="119">
                  <c:v>3.3056699999999994E-2</c:v>
                </c:pt>
                <c:pt idx="120">
                  <c:v>3.3334500000000045E-2</c:v>
                </c:pt>
                <c:pt idx="121">
                  <c:v>3.3612300000000039E-2</c:v>
                </c:pt>
                <c:pt idx="122">
                  <c:v>3.3890100000000034E-2</c:v>
                </c:pt>
                <c:pt idx="123">
                  <c:v>3.4167900000000029E-2</c:v>
                </c:pt>
                <c:pt idx="124">
                  <c:v>3.4445700000000024E-2</c:v>
                </c:pt>
                <c:pt idx="125">
                  <c:v>3.4723500000000018E-2</c:v>
                </c:pt>
                <c:pt idx="126">
                  <c:v>3.5001300000000013E-2</c:v>
                </c:pt>
                <c:pt idx="127">
                  <c:v>3.5279000000000005E-2</c:v>
                </c:pt>
                <c:pt idx="128">
                  <c:v>3.55568E-2</c:v>
                </c:pt>
                <c:pt idx="129">
                  <c:v>3.5834599999999994E-2</c:v>
                </c:pt>
                <c:pt idx="130">
                  <c:v>3.6112400000000044E-2</c:v>
                </c:pt>
                <c:pt idx="131">
                  <c:v>3.6390200000000039E-2</c:v>
                </c:pt>
                <c:pt idx="132">
                  <c:v>3.6668000000000034E-2</c:v>
                </c:pt>
                <c:pt idx="133">
                  <c:v>3.6945800000000029E-2</c:v>
                </c:pt>
                <c:pt idx="134">
                  <c:v>3.7223600000000023E-2</c:v>
                </c:pt>
                <c:pt idx="135">
                  <c:v>3.7501300000000015E-2</c:v>
                </c:pt>
                <c:pt idx="136">
                  <c:v>3.777910000000001E-2</c:v>
                </c:pt>
                <c:pt idx="137">
                  <c:v>3.8056900000000005E-2</c:v>
                </c:pt>
                <c:pt idx="138">
                  <c:v>3.8334699999999999E-2</c:v>
                </c:pt>
                <c:pt idx="139">
                  <c:v>3.8612499999999994E-2</c:v>
                </c:pt>
                <c:pt idx="140">
                  <c:v>3.8890300000000044E-2</c:v>
                </c:pt>
                <c:pt idx="141">
                  <c:v>3.9168100000000039E-2</c:v>
                </c:pt>
                <c:pt idx="142">
                  <c:v>3.9445900000000034E-2</c:v>
                </c:pt>
                <c:pt idx="143">
                  <c:v>3.9723600000000026E-2</c:v>
                </c:pt>
                <c:pt idx="144">
                  <c:v>4.000140000000002E-2</c:v>
                </c:pt>
                <c:pt idx="145">
                  <c:v>4.0279200000000015E-2</c:v>
                </c:pt>
                <c:pt idx="146">
                  <c:v>4.055700000000001E-2</c:v>
                </c:pt>
                <c:pt idx="147">
                  <c:v>4.0834800000000004E-2</c:v>
                </c:pt>
                <c:pt idx="148">
                  <c:v>4.1112599999999999E-2</c:v>
                </c:pt>
                <c:pt idx="149">
                  <c:v>4.1390399999999994E-2</c:v>
                </c:pt>
                <c:pt idx="150">
                  <c:v>4.1668200000000044E-2</c:v>
                </c:pt>
                <c:pt idx="151">
                  <c:v>4.1945900000000036E-2</c:v>
                </c:pt>
                <c:pt idx="152">
                  <c:v>4.2223700000000031E-2</c:v>
                </c:pt>
                <c:pt idx="153">
                  <c:v>4.2501500000000025E-2</c:v>
                </c:pt>
                <c:pt idx="154">
                  <c:v>4.277930000000002E-2</c:v>
                </c:pt>
                <c:pt idx="155">
                  <c:v>4.3057100000000015E-2</c:v>
                </c:pt>
                <c:pt idx="156">
                  <c:v>4.333490000000001E-2</c:v>
                </c:pt>
                <c:pt idx="157">
                  <c:v>4.3612700000000004E-2</c:v>
                </c:pt>
                <c:pt idx="158">
                  <c:v>4.3890499999999999E-2</c:v>
                </c:pt>
                <c:pt idx="159">
                  <c:v>4.4168200000000046E-2</c:v>
                </c:pt>
                <c:pt idx="160">
                  <c:v>4.4446000000000041E-2</c:v>
                </c:pt>
                <c:pt idx="161">
                  <c:v>4.4723800000000036E-2</c:v>
                </c:pt>
                <c:pt idx="162">
                  <c:v>4.500160000000003E-2</c:v>
                </c:pt>
                <c:pt idx="163">
                  <c:v>4.5279400000000025E-2</c:v>
                </c:pt>
                <c:pt idx="164">
                  <c:v>4.555720000000002E-2</c:v>
                </c:pt>
                <c:pt idx="165">
                  <c:v>4.5835000000000015E-2</c:v>
                </c:pt>
                <c:pt idx="166">
                  <c:v>4.6112800000000009E-2</c:v>
                </c:pt>
                <c:pt idx="167">
                  <c:v>4.6390500000000001E-2</c:v>
                </c:pt>
                <c:pt idx="168">
                  <c:v>4.6668299999999996E-2</c:v>
                </c:pt>
                <c:pt idx="169">
                  <c:v>4.6946100000000046E-2</c:v>
                </c:pt>
                <c:pt idx="170">
                  <c:v>4.7223900000000041E-2</c:v>
                </c:pt>
                <c:pt idx="171">
                  <c:v>4.7501700000000036E-2</c:v>
                </c:pt>
                <c:pt idx="172">
                  <c:v>4.777950000000003E-2</c:v>
                </c:pt>
                <c:pt idx="173">
                  <c:v>4.8057300000000025E-2</c:v>
                </c:pt>
                <c:pt idx="174">
                  <c:v>4.833510000000002E-2</c:v>
                </c:pt>
                <c:pt idx="175">
                  <c:v>4.8612800000000012E-2</c:v>
                </c:pt>
                <c:pt idx="176">
                  <c:v>4.8890600000000006E-2</c:v>
                </c:pt>
                <c:pt idx="177">
                  <c:v>4.9168400000000001E-2</c:v>
                </c:pt>
                <c:pt idx="178">
                  <c:v>4.9446199999999996E-2</c:v>
                </c:pt>
                <c:pt idx="179">
                  <c:v>4.9724000000000046E-2</c:v>
                </c:pt>
                <c:pt idx="180">
                  <c:v>5.0001800000000041E-2</c:v>
                </c:pt>
                <c:pt idx="181">
                  <c:v>5.0279600000000035E-2</c:v>
                </c:pt>
                <c:pt idx="182">
                  <c:v>5.055740000000003E-2</c:v>
                </c:pt>
                <c:pt idx="183">
                  <c:v>5.0835100000000022E-2</c:v>
                </c:pt>
                <c:pt idx="184">
                  <c:v>5.1112900000000017E-2</c:v>
                </c:pt>
                <c:pt idx="185">
                  <c:v>5.1390700000000011E-2</c:v>
                </c:pt>
                <c:pt idx="186">
                  <c:v>5.1668500000000006E-2</c:v>
                </c:pt>
                <c:pt idx="187">
                  <c:v>5.1946300000000001E-2</c:v>
                </c:pt>
                <c:pt idx="188">
                  <c:v>5.2224099999999996E-2</c:v>
                </c:pt>
                <c:pt idx="189">
                  <c:v>5.2501900000000046E-2</c:v>
                </c:pt>
                <c:pt idx="190">
                  <c:v>5.277970000000004E-2</c:v>
                </c:pt>
                <c:pt idx="191">
                  <c:v>5.3057400000000032E-2</c:v>
                </c:pt>
                <c:pt idx="192">
                  <c:v>5.3335200000000027E-2</c:v>
                </c:pt>
                <c:pt idx="193">
                  <c:v>5.3613000000000022E-2</c:v>
                </c:pt>
                <c:pt idx="194">
                  <c:v>5.3890800000000016E-2</c:v>
                </c:pt>
              </c:numCache>
            </c:numRef>
          </c:xVal>
          <c:yVal>
            <c:numRef>
              <c:f>'arkusz do profilu'!$G$4:$G$198</c:f>
              <c:numCache>
                <c:formatCode>General</c:formatCode>
                <c:ptCount val="195"/>
                <c:pt idx="0">
                  <c:v>5.6804070000000004E-4</c:v>
                </c:pt>
                <c:pt idx="1">
                  <c:v>2.272658E-2</c:v>
                </c:pt>
                <c:pt idx="2">
                  <c:v>6.8270990000000004E-2</c:v>
                </c:pt>
                <c:pt idx="3">
                  <c:v>0.1186316</c:v>
                </c:pt>
                <c:pt idx="4">
                  <c:v>0.15856919999999999</c:v>
                </c:pt>
                <c:pt idx="5">
                  <c:v>0.186692</c:v>
                </c:pt>
                <c:pt idx="6">
                  <c:v>0.2154237</c:v>
                </c:pt>
                <c:pt idx="7">
                  <c:v>0.240842</c:v>
                </c:pt>
                <c:pt idx="8">
                  <c:v>0.26096029999999998</c:v>
                </c:pt>
                <c:pt idx="9">
                  <c:v>0.27938960000000002</c:v>
                </c:pt>
                <c:pt idx="10">
                  <c:v>0.30348579999999997</c:v>
                </c:pt>
                <c:pt idx="11">
                  <c:v>0.32936149999999997</c:v>
                </c:pt>
                <c:pt idx="12">
                  <c:v>0.35151660000000001</c:v>
                </c:pt>
                <c:pt idx="13">
                  <c:v>0.36580380000000001</c:v>
                </c:pt>
                <c:pt idx="14">
                  <c:v>0.37846590000000002</c:v>
                </c:pt>
                <c:pt idx="15">
                  <c:v>0.39053169999999998</c:v>
                </c:pt>
                <c:pt idx="16">
                  <c:v>0.39853329999999998</c:v>
                </c:pt>
                <c:pt idx="17">
                  <c:v>0.3973293</c:v>
                </c:pt>
                <c:pt idx="18">
                  <c:v>0.38896459999999999</c:v>
                </c:pt>
                <c:pt idx="19">
                  <c:v>0.36676110000000001</c:v>
                </c:pt>
                <c:pt idx="20">
                  <c:v>0.33451740000000002</c:v>
                </c:pt>
                <c:pt idx="21">
                  <c:v>0.29596600000000001</c:v>
                </c:pt>
                <c:pt idx="22">
                  <c:v>0.25391350000000001</c:v>
                </c:pt>
                <c:pt idx="23">
                  <c:v>0.21040929999999999</c:v>
                </c:pt>
                <c:pt idx="24">
                  <c:v>0.1718469</c:v>
                </c:pt>
                <c:pt idx="25">
                  <c:v>0.12640979999999999</c:v>
                </c:pt>
                <c:pt idx="26">
                  <c:v>7.373412E-2</c:v>
                </c:pt>
                <c:pt idx="27">
                  <c:v>2.484983E-2</c:v>
                </c:pt>
                <c:pt idx="28">
                  <c:v>-2.35169E-3</c:v>
                </c:pt>
                <c:pt idx="29">
                  <c:v>-3.489153E-3</c:v>
                </c:pt>
                <c:pt idx="30">
                  <c:v>-2.9673540000000002E-3</c:v>
                </c:pt>
                <c:pt idx="31">
                  <c:v>-2.5077150000000002E-3</c:v>
                </c:pt>
                <c:pt idx="32">
                  <c:v>-2.2809969999999999E-3</c:v>
                </c:pt>
                <c:pt idx="33">
                  <c:v>-1.5643059999999999E-3</c:v>
                </c:pt>
                <c:pt idx="34">
                  <c:v>2.4925899999999999E-4</c:v>
                </c:pt>
                <c:pt idx="35">
                  <c:v>1.1998200000000001E-3</c:v>
                </c:pt>
                <c:pt idx="36">
                  <c:v>1.2263829999999999E-3</c:v>
                </c:pt>
                <c:pt idx="37">
                  <c:v>9.0500599999999997E-4</c:v>
                </c:pt>
                <c:pt idx="38">
                  <c:v>6.5506289999999997E-4</c:v>
                </c:pt>
                <c:pt idx="39">
                  <c:v>5.2454970000000004E-4</c:v>
                </c:pt>
                <c:pt idx="40">
                  <c:v>4.6247770000000001E-4</c:v>
                </c:pt>
                <c:pt idx="41">
                  <c:v>4.1488309999999999E-4</c:v>
                </c:pt>
                <c:pt idx="42">
                  <c:v>4.1832149999999999E-4</c:v>
                </c:pt>
                <c:pt idx="43">
                  <c:v>5.3416110000000004E-4</c:v>
                </c:pt>
                <c:pt idx="44">
                  <c:v>8.3847399999999997E-4</c:v>
                </c:pt>
                <c:pt idx="45">
                  <c:v>1.441419E-3</c:v>
                </c:pt>
                <c:pt idx="46">
                  <c:v>2.4545499999999998E-3</c:v>
                </c:pt>
                <c:pt idx="47">
                  <c:v>2.7009310000000002E-3</c:v>
                </c:pt>
                <c:pt idx="48">
                  <c:v>2.1317300000000001E-3</c:v>
                </c:pt>
                <c:pt idx="49">
                  <c:v>1.3621600000000001E-3</c:v>
                </c:pt>
                <c:pt idx="50">
                  <c:v>5.9103080000000004E-4</c:v>
                </c:pt>
                <c:pt idx="51">
                  <c:v>-2.2742079999999999E-4</c:v>
                </c:pt>
                <c:pt idx="52">
                  <c:v>-7.4843860000000002E-4</c:v>
                </c:pt>
                <c:pt idx="53">
                  <c:v>-1.185356E-3</c:v>
                </c:pt>
                <c:pt idx="54">
                  <c:v>-1.686019E-3</c:v>
                </c:pt>
                <c:pt idx="55">
                  <c:v>-1.700883E-3</c:v>
                </c:pt>
                <c:pt idx="56">
                  <c:v>-1.29729E-3</c:v>
                </c:pt>
                <c:pt idx="57">
                  <c:v>-7.2222140000000002E-4</c:v>
                </c:pt>
                <c:pt idx="58">
                  <c:v>-1.044077E-4</c:v>
                </c:pt>
                <c:pt idx="59">
                  <c:v>4.0257509999999999E-4</c:v>
                </c:pt>
                <c:pt idx="60">
                  <c:v>7.6949609999999997E-4</c:v>
                </c:pt>
                <c:pt idx="61">
                  <c:v>7.6079139999999995E-4</c:v>
                </c:pt>
                <c:pt idx="62">
                  <c:v>3.0813539999999999E-4</c:v>
                </c:pt>
                <c:pt idx="63">
                  <c:v>-4.9447219999999999E-4</c:v>
                </c:pt>
                <c:pt idx="64">
                  <c:v>-1.4150829999999999E-3</c:v>
                </c:pt>
                <c:pt idx="65">
                  <c:v>-1.8180830000000001E-3</c:v>
                </c:pt>
                <c:pt idx="66">
                  <c:v>-1.5383619999999999E-3</c:v>
                </c:pt>
                <c:pt idx="67">
                  <c:v>-1.0549069999999999E-3</c:v>
                </c:pt>
                <c:pt idx="68">
                  <c:v>-5.5336250000000001E-4</c:v>
                </c:pt>
                <c:pt idx="69">
                  <c:v>-9.2900690000000002E-5</c:v>
                </c:pt>
                <c:pt idx="70">
                  <c:v>2.136626E-4</c:v>
                </c:pt>
                <c:pt idx="71">
                  <c:v>3.8967169999999998E-4</c:v>
                </c:pt>
                <c:pt idx="72">
                  <c:v>4.8215930000000001E-4</c:v>
                </c:pt>
                <c:pt idx="73">
                  <c:v>2.2686959999999999E-2</c:v>
                </c:pt>
                <c:pt idx="74">
                  <c:v>6.8284310000000001E-2</c:v>
                </c:pt>
                <c:pt idx="75">
                  <c:v>0.118753</c:v>
                </c:pt>
                <c:pt idx="76">
                  <c:v>0.1588994</c:v>
                </c:pt>
                <c:pt idx="77">
                  <c:v>0.18703939999999999</c:v>
                </c:pt>
                <c:pt idx="78">
                  <c:v>0.2155223</c:v>
                </c:pt>
                <c:pt idx="79">
                  <c:v>0.24014089999999999</c:v>
                </c:pt>
                <c:pt idx="80">
                  <c:v>0.259214</c:v>
                </c:pt>
                <c:pt idx="81">
                  <c:v>0.27619320000000003</c:v>
                </c:pt>
                <c:pt idx="82">
                  <c:v>0.29878349999999998</c:v>
                </c:pt>
                <c:pt idx="83">
                  <c:v>0.32350519999999999</c:v>
                </c:pt>
                <c:pt idx="84">
                  <c:v>0.3451187</c:v>
                </c:pt>
                <c:pt idx="85">
                  <c:v>0.3592146</c:v>
                </c:pt>
                <c:pt idx="86">
                  <c:v>0.37237920000000002</c:v>
                </c:pt>
                <c:pt idx="87">
                  <c:v>0.38524029999999998</c:v>
                </c:pt>
                <c:pt idx="88">
                  <c:v>0.39349630000000002</c:v>
                </c:pt>
                <c:pt idx="89">
                  <c:v>0.39188699999999999</c:v>
                </c:pt>
                <c:pt idx="90">
                  <c:v>0.3837063</c:v>
                </c:pt>
                <c:pt idx="91">
                  <c:v>0.36308249999999997</c:v>
                </c:pt>
                <c:pt idx="92">
                  <c:v>0.33258310000000002</c:v>
                </c:pt>
                <c:pt idx="93">
                  <c:v>0.29503000000000001</c:v>
                </c:pt>
                <c:pt idx="94">
                  <c:v>0.25329940000000001</c:v>
                </c:pt>
                <c:pt idx="95">
                  <c:v>0.2102184</c:v>
                </c:pt>
                <c:pt idx="96">
                  <c:v>0.17237330000000001</c:v>
                </c:pt>
                <c:pt idx="97">
                  <c:v>0.12712799999999999</c:v>
                </c:pt>
                <c:pt idx="98">
                  <c:v>7.3893349999999997E-2</c:v>
                </c:pt>
                <c:pt idx="99">
                  <c:v>2.4645170000000001E-2</c:v>
                </c:pt>
                <c:pt idx="100">
                  <c:v>-2.479654E-3</c:v>
                </c:pt>
                <c:pt idx="101">
                  <c:v>-3.4567830000000002E-3</c:v>
                </c:pt>
                <c:pt idx="102">
                  <c:v>-2.7390779999999998E-3</c:v>
                </c:pt>
                <c:pt idx="103">
                  <c:v>-2.1490849999999998E-3</c:v>
                </c:pt>
                <c:pt idx="104">
                  <c:v>-1.984768E-3</c:v>
                </c:pt>
                <c:pt idx="105">
                  <c:v>-1.5795620000000001E-3</c:v>
                </c:pt>
                <c:pt idx="106">
                  <c:v>-1.249757E-5</c:v>
                </c:pt>
                <c:pt idx="107">
                  <c:v>9.1597040000000003E-4</c:v>
                </c:pt>
                <c:pt idx="108">
                  <c:v>1.0618299999999999E-3</c:v>
                </c:pt>
                <c:pt idx="109">
                  <c:v>8.7344820000000004E-4</c:v>
                </c:pt>
                <c:pt idx="110">
                  <c:v>6.6079870000000001E-4</c:v>
                </c:pt>
                <c:pt idx="111">
                  <c:v>5.1699109999999999E-4</c:v>
                </c:pt>
                <c:pt idx="112">
                  <c:v>4.3169200000000001E-4</c:v>
                </c:pt>
                <c:pt idx="113">
                  <c:v>3.566156E-4</c:v>
                </c:pt>
                <c:pt idx="114">
                  <c:v>3.2915249999999999E-4</c:v>
                </c:pt>
                <c:pt idx="115">
                  <c:v>4.3277570000000001E-4</c:v>
                </c:pt>
                <c:pt idx="116">
                  <c:v>7.4975910000000005E-4</c:v>
                </c:pt>
                <c:pt idx="117">
                  <c:v>1.349275E-3</c:v>
                </c:pt>
                <c:pt idx="118">
                  <c:v>2.372777E-3</c:v>
                </c:pt>
                <c:pt idx="119">
                  <c:v>2.7425129999999998E-3</c:v>
                </c:pt>
                <c:pt idx="120">
                  <c:v>2.1850559999999999E-3</c:v>
                </c:pt>
                <c:pt idx="121">
                  <c:v>1.409081E-3</c:v>
                </c:pt>
                <c:pt idx="122">
                  <c:v>6.4282320000000001E-4</c:v>
                </c:pt>
                <c:pt idx="123">
                  <c:v>-1.7352350000000001E-4</c:v>
                </c:pt>
                <c:pt idx="124">
                  <c:v>-6.7838860000000003E-4</c:v>
                </c:pt>
                <c:pt idx="125">
                  <c:v>-1.056824E-3</c:v>
                </c:pt>
                <c:pt idx="126">
                  <c:v>-1.5263430000000001E-3</c:v>
                </c:pt>
                <c:pt idx="127">
                  <c:v>-1.691426E-3</c:v>
                </c:pt>
                <c:pt idx="128">
                  <c:v>-1.4207359999999999E-3</c:v>
                </c:pt>
                <c:pt idx="129">
                  <c:v>-9.6721060000000002E-4</c:v>
                </c:pt>
                <c:pt idx="130">
                  <c:v>-4.1743990000000001E-4</c:v>
                </c:pt>
                <c:pt idx="131">
                  <c:v>8.969983E-5</c:v>
                </c:pt>
                <c:pt idx="132">
                  <c:v>4.2639819999999999E-4</c:v>
                </c:pt>
                <c:pt idx="133">
                  <c:v>4.3617990000000001E-4</c:v>
                </c:pt>
                <c:pt idx="134">
                  <c:v>-6.7972769999999997E-6</c:v>
                </c:pt>
                <c:pt idx="135">
                  <c:v>-8.4443590000000002E-4</c:v>
                </c:pt>
                <c:pt idx="136">
                  <c:v>-1.5515710000000001E-3</c:v>
                </c:pt>
                <c:pt idx="137">
                  <c:v>-1.754818E-3</c:v>
                </c:pt>
                <c:pt idx="138">
                  <c:v>-1.332569E-3</c:v>
                </c:pt>
                <c:pt idx="139">
                  <c:v>-8.3240950000000005E-4</c:v>
                </c:pt>
                <c:pt idx="140">
                  <c:v>-3.146728E-4</c:v>
                </c:pt>
                <c:pt idx="141">
                  <c:v>9.4607359999999995E-5</c:v>
                </c:pt>
                <c:pt idx="142">
                  <c:v>3.2599259999999998E-4</c:v>
                </c:pt>
                <c:pt idx="143">
                  <c:v>4.3223840000000002E-4</c:v>
                </c:pt>
                <c:pt idx="144">
                  <c:v>4.9243150000000005E-4</c:v>
                </c:pt>
                <c:pt idx="145">
                  <c:v>2.268059E-2</c:v>
                </c:pt>
                <c:pt idx="146">
                  <c:v>6.8236850000000002E-2</c:v>
                </c:pt>
                <c:pt idx="147">
                  <c:v>0.1186624</c:v>
                </c:pt>
                <c:pt idx="148">
                  <c:v>0.15887090000000001</c:v>
                </c:pt>
                <c:pt idx="149">
                  <c:v>0.1873196</c:v>
                </c:pt>
                <c:pt idx="150">
                  <c:v>0.2160706</c:v>
                </c:pt>
                <c:pt idx="151">
                  <c:v>0.2405091</c:v>
                </c:pt>
                <c:pt idx="152">
                  <c:v>0.2587256</c:v>
                </c:pt>
                <c:pt idx="153">
                  <c:v>0.2754318</c:v>
                </c:pt>
                <c:pt idx="154">
                  <c:v>0.29894219999999999</c:v>
                </c:pt>
                <c:pt idx="155">
                  <c:v>0.32504519999999998</c:v>
                </c:pt>
                <c:pt idx="156">
                  <c:v>0.34800560000000003</c:v>
                </c:pt>
                <c:pt idx="157">
                  <c:v>0.3630177</c:v>
                </c:pt>
                <c:pt idx="158">
                  <c:v>0.37627959999999999</c:v>
                </c:pt>
                <c:pt idx="159">
                  <c:v>0.38860509999999998</c:v>
                </c:pt>
                <c:pt idx="160">
                  <c:v>0.39643270000000003</c:v>
                </c:pt>
                <c:pt idx="161">
                  <c:v>0.39512570000000002</c:v>
                </c:pt>
                <c:pt idx="162">
                  <c:v>0.3871289</c:v>
                </c:pt>
                <c:pt idx="163">
                  <c:v>0.3653421</c:v>
                </c:pt>
                <c:pt idx="164">
                  <c:v>0.33314630000000001</c:v>
                </c:pt>
                <c:pt idx="165">
                  <c:v>0.29474590000000001</c:v>
                </c:pt>
                <c:pt idx="166">
                  <c:v>0.25303740000000002</c:v>
                </c:pt>
                <c:pt idx="167">
                  <c:v>0.20991219999999999</c:v>
                </c:pt>
                <c:pt idx="168">
                  <c:v>0.17171710000000001</c:v>
                </c:pt>
                <c:pt idx="169">
                  <c:v>0.1263813</c:v>
                </c:pt>
                <c:pt idx="170">
                  <c:v>7.3513490000000001E-2</c:v>
                </c:pt>
                <c:pt idx="171">
                  <c:v>2.4631E-2</c:v>
                </c:pt>
                <c:pt idx="172">
                  <c:v>-2.3870929999999999E-3</c:v>
                </c:pt>
                <c:pt idx="173">
                  <c:v>-3.4007780000000001E-3</c:v>
                </c:pt>
                <c:pt idx="174">
                  <c:v>-2.814783E-3</c:v>
                </c:pt>
                <c:pt idx="175">
                  <c:v>-2.434093E-3</c:v>
                </c:pt>
                <c:pt idx="176">
                  <c:v>-2.3713720000000001E-3</c:v>
                </c:pt>
                <c:pt idx="177">
                  <c:v>-1.6665149999999999E-3</c:v>
                </c:pt>
                <c:pt idx="178">
                  <c:v>2.1218149999999999E-4</c:v>
                </c:pt>
                <c:pt idx="179">
                  <c:v>1.269271E-3</c:v>
                </c:pt>
                <c:pt idx="180">
                  <c:v>1.3516100000000001E-3</c:v>
                </c:pt>
                <c:pt idx="181">
                  <c:v>1.013199E-3</c:v>
                </c:pt>
                <c:pt idx="182">
                  <c:v>7.4146900000000003E-4</c:v>
                </c:pt>
                <c:pt idx="183">
                  <c:v>5.7581139999999999E-4</c:v>
                </c:pt>
                <c:pt idx="184">
                  <c:v>4.6373390000000001E-4</c:v>
                </c:pt>
                <c:pt idx="185">
                  <c:v>3.3843110000000002E-4</c:v>
                </c:pt>
                <c:pt idx="186">
                  <c:v>2.3407380000000001E-4</c:v>
                </c:pt>
                <c:pt idx="187">
                  <c:v>1.7284010000000001E-4</c:v>
                </c:pt>
                <c:pt idx="188">
                  <c:v>3.2249900000000002E-4</c:v>
                </c:pt>
                <c:pt idx="189">
                  <c:v>8.0147919999999997E-4</c:v>
                </c:pt>
                <c:pt idx="190">
                  <c:v>1.7321369999999999E-3</c:v>
                </c:pt>
                <c:pt idx="191">
                  <c:v>2.1801839999999999E-3</c:v>
                </c:pt>
                <c:pt idx="192">
                  <c:v>2.0203410000000002E-3</c:v>
                </c:pt>
                <c:pt idx="193">
                  <c:v>1.6218820000000001E-3</c:v>
                </c:pt>
                <c:pt idx="194">
                  <c:v>1.105838E-3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BBE-4156-AB6A-AE18C450C3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5876000"/>
        <c:axId val="605878880"/>
      </c:scatterChart>
      <c:valAx>
        <c:axId val="605876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05878880"/>
        <c:crosses val="autoZero"/>
        <c:crossBetween val="midCat"/>
      </c:valAx>
      <c:valAx>
        <c:axId val="605878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05876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'arkusz do profilu'!$G$3</c:f>
              <c:strCache>
                <c:ptCount val="1"/>
                <c:pt idx="0">
                  <c:v>mass-flow-rate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6"/>
            <c:dispRSqr val="1"/>
            <c:dispEq val="1"/>
            <c:trendlineLbl>
              <c:layout>
                <c:manualLayout>
                  <c:x val="6.9350613599758179E-2"/>
                  <c:y val="-0.4531390347039953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xVal>
            <c:numRef>
              <c:f>'arkusz do profilu'!$F$4:$F$32</c:f>
              <c:numCache>
                <c:formatCode>General</c:formatCode>
                <c:ptCount val="29"/>
                <c:pt idx="0">
                  <c:v>0</c:v>
                </c:pt>
                <c:pt idx="1">
                  <c:v>2.7779999999999472E-4</c:v>
                </c:pt>
                <c:pt idx="2">
                  <c:v>5.5560000000004495E-4</c:v>
                </c:pt>
                <c:pt idx="3">
                  <c:v>8.3340000000003966E-4</c:v>
                </c:pt>
                <c:pt idx="4">
                  <c:v>1.1112000000000344E-3</c:v>
                </c:pt>
                <c:pt idx="5">
                  <c:v>1.3890000000000291E-3</c:v>
                </c:pt>
                <c:pt idx="6">
                  <c:v>1.6668000000000238E-3</c:v>
                </c:pt>
                <c:pt idx="7">
                  <c:v>1.9446000000000185E-3</c:v>
                </c:pt>
                <c:pt idx="8">
                  <c:v>2.2223000000000104E-3</c:v>
                </c:pt>
                <c:pt idx="9">
                  <c:v>2.5001000000000051E-3</c:v>
                </c:pt>
                <c:pt idx="10">
                  <c:v>2.7778999999999998E-3</c:v>
                </c:pt>
                <c:pt idx="11">
                  <c:v>3.0556999999999945E-3</c:v>
                </c:pt>
                <c:pt idx="12">
                  <c:v>3.3335000000000448E-3</c:v>
                </c:pt>
                <c:pt idx="13">
                  <c:v>3.6113000000000395E-3</c:v>
                </c:pt>
                <c:pt idx="14">
                  <c:v>3.8891000000000342E-3</c:v>
                </c:pt>
                <c:pt idx="15">
                  <c:v>4.1669000000000289E-3</c:v>
                </c:pt>
                <c:pt idx="16">
                  <c:v>4.4446000000000208E-3</c:v>
                </c:pt>
                <c:pt idx="17">
                  <c:v>4.7224000000000155E-3</c:v>
                </c:pt>
                <c:pt idx="18">
                  <c:v>5.0002000000000102E-3</c:v>
                </c:pt>
                <c:pt idx="19">
                  <c:v>5.2780000000000049E-3</c:v>
                </c:pt>
                <c:pt idx="20">
                  <c:v>5.5557999999999996E-3</c:v>
                </c:pt>
                <c:pt idx="21">
                  <c:v>5.8335999999999943E-3</c:v>
                </c:pt>
                <c:pt idx="22">
                  <c:v>6.1114000000000446E-3</c:v>
                </c:pt>
                <c:pt idx="23">
                  <c:v>6.3892000000000393E-3</c:v>
                </c:pt>
                <c:pt idx="24">
                  <c:v>6.6669000000000311E-3</c:v>
                </c:pt>
                <c:pt idx="25">
                  <c:v>6.9447000000000259E-3</c:v>
                </c:pt>
                <c:pt idx="26">
                  <c:v>7.2225000000000206E-3</c:v>
                </c:pt>
                <c:pt idx="27">
                  <c:v>7.5003000000000153E-3</c:v>
                </c:pt>
                <c:pt idx="28">
                  <c:v>7.77810000000001E-3</c:v>
                </c:pt>
              </c:numCache>
            </c:numRef>
          </c:xVal>
          <c:yVal>
            <c:numRef>
              <c:f>'arkusz do profilu'!$X$12:$X$40</c:f>
              <c:numCache>
                <c:formatCode>General</c:formatCode>
                <c:ptCount val="29"/>
                <c:pt idx="0">
                  <c:v>2.8402035000000002E-4</c:v>
                </c:pt>
                <c:pt idx="1">
                  <c:v>1.136329E-2</c:v>
                </c:pt>
                <c:pt idx="2">
                  <c:v>3.4135495000000002E-2</c:v>
                </c:pt>
                <c:pt idx="3">
                  <c:v>5.9315800000000002E-2</c:v>
                </c:pt>
                <c:pt idx="4">
                  <c:v>7.9284599999999997E-2</c:v>
                </c:pt>
                <c:pt idx="5">
                  <c:v>9.3345999999999998E-2</c:v>
                </c:pt>
                <c:pt idx="6">
                  <c:v>0.10771185</c:v>
                </c:pt>
                <c:pt idx="7">
                  <c:v>0.120421</c:v>
                </c:pt>
                <c:pt idx="8">
                  <c:v>0.13048014999999999</c:v>
                </c:pt>
                <c:pt idx="9">
                  <c:v>0.13969480000000001</c:v>
                </c:pt>
                <c:pt idx="10">
                  <c:v>0.15174289999999999</c:v>
                </c:pt>
                <c:pt idx="11">
                  <c:v>0.16468074999999999</c:v>
                </c:pt>
                <c:pt idx="12">
                  <c:v>0.17575830000000001</c:v>
                </c:pt>
                <c:pt idx="13">
                  <c:v>0.18290190000000001</c:v>
                </c:pt>
                <c:pt idx="14">
                  <c:v>0.18923295000000001</c:v>
                </c:pt>
                <c:pt idx="15">
                  <c:v>0.19526584999999999</c:v>
                </c:pt>
                <c:pt idx="16">
                  <c:v>0.19926664999999999</c:v>
                </c:pt>
                <c:pt idx="17">
                  <c:v>0.19866465</c:v>
                </c:pt>
                <c:pt idx="18">
                  <c:v>0.1944823</c:v>
                </c:pt>
                <c:pt idx="19">
                  <c:v>0.18338055</c:v>
                </c:pt>
                <c:pt idx="20">
                  <c:v>0.16725870000000001</c:v>
                </c:pt>
                <c:pt idx="21">
                  <c:v>0.147983</c:v>
                </c:pt>
                <c:pt idx="22">
                  <c:v>0.12695675000000001</c:v>
                </c:pt>
                <c:pt idx="23">
                  <c:v>0.10520465</c:v>
                </c:pt>
                <c:pt idx="24">
                  <c:v>8.5923449999999998E-2</c:v>
                </c:pt>
                <c:pt idx="25">
                  <c:v>6.3204899999999994E-2</c:v>
                </c:pt>
                <c:pt idx="26">
                  <c:v>3.686706E-2</c:v>
                </c:pt>
                <c:pt idx="27">
                  <c:v>1.2424915E-2</c:v>
                </c:pt>
                <c:pt idx="2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E83-4190-A26A-110BFBF942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6290848"/>
        <c:axId val="976294088"/>
      </c:scatterChart>
      <c:valAx>
        <c:axId val="976290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976294088"/>
        <c:crosses val="autoZero"/>
        <c:crossBetween val="midCat"/>
      </c:valAx>
      <c:valAx>
        <c:axId val="976294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976290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Arkusz3!$D$5:$D$5</c:f>
              <c:strCache>
                <c:ptCount val="1"/>
                <c:pt idx="0">
                  <c:v>Inlet-static</c:v>
                </c:pt>
              </c:strCache>
            </c:strRef>
          </c:tx>
          <c:spPr>
            <a:ln w="28800">
              <a:solidFill>
                <a:srgbClr val="004586"/>
              </a:solidFill>
            </a:ln>
          </c:spPr>
          <c:marker>
            <c:symbol val="none"/>
          </c:marker>
          <c:xVal>
            <c:numRef>
              <c:f>Arkusz3!$A$7:$A$17</c:f>
              <c:numCache>
                <c:formatCode>General</c:formatCode>
                <c:ptCount val="11"/>
                <c:pt idx="0">
                  <c:v>40</c:v>
                </c:pt>
                <c:pt idx="1">
                  <c:v>36.363636363636367</c:v>
                </c:pt>
                <c:pt idx="2">
                  <c:v>33.333333333333336</c:v>
                </c:pt>
                <c:pt idx="3">
                  <c:v>30.76923076923077</c:v>
                </c:pt>
                <c:pt idx="4">
                  <c:v>28.571428571428573</c:v>
                </c:pt>
                <c:pt idx="5">
                  <c:v>26.666666666666668</c:v>
                </c:pt>
                <c:pt idx="6">
                  <c:v>25</c:v>
                </c:pt>
                <c:pt idx="7">
                  <c:v>23.529411764705884</c:v>
                </c:pt>
                <c:pt idx="8">
                  <c:v>22.222222222222221</c:v>
                </c:pt>
                <c:pt idx="9">
                  <c:v>21.05263157894737</c:v>
                </c:pt>
                <c:pt idx="10">
                  <c:v>20</c:v>
                </c:pt>
              </c:numCache>
            </c:numRef>
          </c:xVal>
          <c:yVal>
            <c:numRef>
              <c:f>Arkusz3!$D$7:$D$17</c:f>
              <c:numCache>
                <c:formatCode>General</c:formatCode>
                <c:ptCount val="1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27-47BA-9C10-A63A33911EF1}"/>
            </c:ext>
          </c:extLst>
        </c:ser>
        <c:ser>
          <c:idx val="1"/>
          <c:order val="1"/>
          <c:tx>
            <c:strRef>
              <c:f>Arkusz3!$E$5:$E$5</c:f>
              <c:strCache>
                <c:ptCount val="1"/>
                <c:pt idx="0">
                  <c:v>Inlet-total</c:v>
                </c:pt>
              </c:strCache>
            </c:strRef>
          </c:tx>
          <c:spPr>
            <a:ln w="28800">
              <a:solidFill>
                <a:srgbClr val="FF420E"/>
              </a:solidFill>
            </a:ln>
          </c:spPr>
          <c:marker>
            <c:symbol val="none"/>
          </c:marker>
          <c:xVal>
            <c:numRef>
              <c:f>Arkusz3!$A$7:$A$17</c:f>
              <c:numCache>
                <c:formatCode>General</c:formatCode>
                <c:ptCount val="11"/>
                <c:pt idx="0">
                  <c:v>40</c:v>
                </c:pt>
                <c:pt idx="1">
                  <c:v>36.363636363636367</c:v>
                </c:pt>
                <c:pt idx="2">
                  <c:v>33.333333333333336</c:v>
                </c:pt>
                <c:pt idx="3">
                  <c:v>30.76923076923077</c:v>
                </c:pt>
                <c:pt idx="4">
                  <c:v>28.571428571428573</c:v>
                </c:pt>
                <c:pt idx="5">
                  <c:v>26.666666666666668</c:v>
                </c:pt>
                <c:pt idx="6">
                  <c:v>25</c:v>
                </c:pt>
                <c:pt idx="7">
                  <c:v>23.529411764705884</c:v>
                </c:pt>
                <c:pt idx="8">
                  <c:v>22.222222222222221</c:v>
                </c:pt>
                <c:pt idx="9">
                  <c:v>21.05263157894737</c:v>
                </c:pt>
                <c:pt idx="10">
                  <c:v>20</c:v>
                </c:pt>
              </c:numCache>
            </c:numRef>
          </c:xVal>
          <c:yVal>
            <c:numRef>
              <c:f>Arkusz3!$E$7:$E$17</c:f>
              <c:numCache>
                <c:formatCode>General</c:formatCode>
                <c:ptCount val="1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A27-47BA-9C10-A63A33911EF1}"/>
            </c:ext>
          </c:extLst>
        </c:ser>
        <c:ser>
          <c:idx val="2"/>
          <c:order val="2"/>
          <c:tx>
            <c:strRef>
              <c:f>Arkusz3!$F$5:$F$5</c:f>
              <c:strCache>
                <c:ptCount val="1"/>
                <c:pt idx="0">
                  <c:v>Inlet-static</c:v>
                </c:pt>
              </c:strCache>
            </c:strRef>
          </c:tx>
          <c:spPr>
            <a:ln w="28800">
              <a:solidFill>
                <a:srgbClr val="FFD320"/>
              </a:solidFill>
            </a:ln>
          </c:spPr>
          <c:marker>
            <c:symbol val="none"/>
          </c:marker>
          <c:xVal>
            <c:numRef>
              <c:f>Arkusz3!$A$7:$A$17</c:f>
              <c:numCache>
                <c:formatCode>General</c:formatCode>
                <c:ptCount val="11"/>
                <c:pt idx="0">
                  <c:v>40</c:v>
                </c:pt>
                <c:pt idx="1">
                  <c:v>36.363636363636367</c:v>
                </c:pt>
                <c:pt idx="2">
                  <c:v>33.333333333333336</c:v>
                </c:pt>
                <c:pt idx="3">
                  <c:v>30.76923076923077</c:v>
                </c:pt>
                <c:pt idx="4">
                  <c:v>28.571428571428573</c:v>
                </c:pt>
                <c:pt idx="5">
                  <c:v>26.666666666666668</c:v>
                </c:pt>
                <c:pt idx="6">
                  <c:v>25</c:v>
                </c:pt>
                <c:pt idx="7">
                  <c:v>23.529411764705884</c:v>
                </c:pt>
                <c:pt idx="8">
                  <c:v>22.222222222222221</c:v>
                </c:pt>
                <c:pt idx="9">
                  <c:v>21.05263157894737</c:v>
                </c:pt>
                <c:pt idx="10">
                  <c:v>20</c:v>
                </c:pt>
              </c:numCache>
            </c:numRef>
          </c:xVal>
          <c:yVal>
            <c:numRef>
              <c:f>Arkusz3!$F$7:$F$17</c:f>
              <c:numCache>
                <c:formatCode>General</c:formatCode>
                <c:ptCount val="11"/>
                <c:pt idx="0">
                  <c:v>401192.3</c:v>
                </c:pt>
                <c:pt idx="2">
                  <c:v>399040.6</c:v>
                </c:pt>
                <c:pt idx="4">
                  <c:v>395832.7</c:v>
                </c:pt>
                <c:pt idx="6">
                  <c:v>393468.7</c:v>
                </c:pt>
                <c:pt idx="8">
                  <c:v>392540.7</c:v>
                </c:pt>
                <c:pt idx="10">
                  <c:v>390879.5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A27-47BA-9C10-A63A33911EF1}"/>
            </c:ext>
          </c:extLst>
        </c:ser>
        <c:ser>
          <c:idx val="3"/>
          <c:order val="3"/>
          <c:tx>
            <c:strRef>
              <c:f>Arkusz3!$G$5:$G$5</c:f>
              <c:strCache>
                <c:ptCount val="1"/>
                <c:pt idx="0">
                  <c:v>Inlet-total</c:v>
                </c:pt>
              </c:strCache>
            </c:strRef>
          </c:tx>
          <c:spPr>
            <a:ln w="28800">
              <a:solidFill>
                <a:srgbClr val="579D1C"/>
              </a:solidFill>
            </a:ln>
          </c:spPr>
          <c:marker>
            <c:symbol val="none"/>
          </c:marker>
          <c:xVal>
            <c:numRef>
              <c:f>Arkusz3!$A$7:$A$17</c:f>
              <c:numCache>
                <c:formatCode>General</c:formatCode>
                <c:ptCount val="11"/>
                <c:pt idx="0">
                  <c:v>40</c:v>
                </c:pt>
                <c:pt idx="1">
                  <c:v>36.363636363636367</c:v>
                </c:pt>
                <c:pt idx="2">
                  <c:v>33.333333333333336</c:v>
                </c:pt>
                <c:pt idx="3">
                  <c:v>30.76923076923077</c:v>
                </c:pt>
                <c:pt idx="4">
                  <c:v>28.571428571428573</c:v>
                </c:pt>
                <c:pt idx="5">
                  <c:v>26.666666666666668</c:v>
                </c:pt>
                <c:pt idx="6">
                  <c:v>25</c:v>
                </c:pt>
                <c:pt idx="7">
                  <c:v>23.529411764705884</c:v>
                </c:pt>
                <c:pt idx="8">
                  <c:v>22.222222222222221</c:v>
                </c:pt>
                <c:pt idx="9">
                  <c:v>21.05263157894737</c:v>
                </c:pt>
                <c:pt idx="10">
                  <c:v>20</c:v>
                </c:pt>
              </c:numCache>
            </c:numRef>
          </c:xVal>
          <c:yVal>
            <c:numRef>
              <c:f>Arkusz3!$G$7:$G$17</c:f>
              <c:numCache>
                <c:formatCode>General</c:formatCode>
                <c:ptCount val="11"/>
                <c:pt idx="0" formatCode="0.0">
                  <c:v>429284.3</c:v>
                </c:pt>
                <c:pt idx="2">
                  <c:v>427254.9</c:v>
                </c:pt>
                <c:pt idx="4">
                  <c:v>424372.5</c:v>
                </c:pt>
                <c:pt idx="6">
                  <c:v>422001.6</c:v>
                </c:pt>
                <c:pt idx="8">
                  <c:v>421132.9</c:v>
                </c:pt>
                <c:pt idx="10">
                  <c:v>419561.6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A27-47BA-9C10-A63A33911E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8304112"/>
        <c:axId val="608301232"/>
      </c:scatterChart>
      <c:valAx>
        <c:axId val="608301232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 b="0"/>
                </a:pPr>
                <a:r>
                  <a:rPr lang="pl-PL"/>
                  <a:t>inlet static p [Pa]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/>
            </a:pPr>
            <a:endParaRPr lang="pl-PL"/>
          </a:p>
        </c:txPr>
        <c:crossAx val="608304112"/>
        <c:crossesAt val="0"/>
        <c:crossBetween val="midCat"/>
      </c:valAx>
      <c:valAx>
        <c:axId val="6083041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0"/>
                </a:pPr>
                <a:r>
                  <a:rPr lang="pl-PL"/>
                  <a:t>H [mm]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/>
            </a:pPr>
            <a:endParaRPr lang="pl-PL"/>
          </a:p>
        </c:txPr>
        <c:crossAx val="608301232"/>
        <c:crossesAt val="0"/>
        <c:crossBetween val="midCat"/>
      </c:valAx>
      <c:spPr>
        <a:noFill/>
        <a:ln>
          <a:solidFill>
            <a:srgbClr val="B3B3B3"/>
          </a:solidFill>
          <a:prstDash val="solid"/>
        </a:ln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sz="1000" b="0"/>
          </a:pPr>
          <a:endParaRPr lang="pl-PL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Arkusz1_2!$D$5:$D$5</c:f>
              <c:strCache>
                <c:ptCount val="1"/>
                <c:pt idx="0">
                  <c:v>Inlet-static</c:v>
                </c:pt>
              </c:strCache>
            </c:strRef>
          </c:tx>
          <c:spPr>
            <a:ln w="28800">
              <a:solidFill>
                <a:srgbClr val="004586"/>
              </a:solidFill>
            </a:ln>
          </c:spPr>
          <c:marker>
            <c:symbol val="none"/>
          </c:marker>
          <c:xVal>
            <c:numRef>
              <c:f>Arkusz1_2!$A$40:$A$42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  <c:pt idx="2">
                  <c:v>2</c:v>
                </c:pt>
              </c:numCache>
            </c:numRef>
          </c:xVal>
          <c:yVal>
            <c:numRef>
              <c:f>Arkusz1_2!$B$40:$B$42</c:f>
              <c:numCache>
                <c:formatCode>General</c:formatCode>
                <c:ptCount val="3"/>
                <c:pt idx="0">
                  <c:v>381619.3</c:v>
                </c:pt>
                <c:pt idx="1">
                  <c:v>370132.5</c:v>
                </c:pt>
                <c:pt idx="2">
                  <c:v>359284.3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7C-492D-B379-BAC410E565FC}"/>
            </c:ext>
          </c:extLst>
        </c:ser>
        <c:ser>
          <c:idx val="1"/>
          <c:order val="1"/>
          <c:tx>
            <c:strRef>
              <c:f>Arkusz1_2!$E$5:$E$5</c:f>
              <c:strCache>
                <c:ptCount val="1"/>
                <c:pt idx="0">
                  <c:v>Inlet-total</c:v>
                </c:pt>
              </c:strCache>
            </c:strRef>
          </c:tx>
          <c:spPr>
            <a:ln w="28800">
              <a:solidFill>
                <a:srgbClr val="FF420E"/>
              </a:solidFill>
            </a:ln>
          </c:spPr>
          <c:marker>
            <c:symbol val="none"/>
          </c:marker>
          <c:xVal>
            <c:numRef>
              <c:f>Arkusz1_2!$A$40:$A$42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  <c:pt idx="2">
                  <c:v>2</c:v>
                </c:pt>
              </c:numCache>
            </c:numRef>
          </c:xVal>
          <c:yVal>
            <c:numRef>
              <c:f>Arkusz1_2!$C$40:$C$42</c:f>
              <c:numCache>
                <c:formatCode>General</c:formatCode>
                <c:ptCount val="3"/>
                <c:pt idx="0">
                  <c:v>419867.5</c:v>
                </c:pt>
                <c:pt idx="1">
                  <c:v>409323.6</c:v>
                </c:pt>
                <c:pt idx="2">
                  <c:v>399409.9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67C-492D-B379-BAC410E565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8304832"/>
        <c:axId val="608301592"/>
      </c:scatterChart>
      <c:valAx>
        <c:axId val="608301592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 b="0"/>
                </a:pPr>
                <a:r>
                  <a:rPr lang="pl-PL"/>
                  <a:t>[Pa]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/>
            </a:pPr>
            <a:endParaRPr lang="pl-PL"/>
          </a:p>
        </c:txPr>
        <c:crossAx val="608304832"/>
        <c:crossesAt val="0"/>
        <c:crossBetween val="midCat"/>
      </c:valAx>
      <c:valAx>
        <c:axId val="6083048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0"/>
                </a:pPr>
                <a:r>
                  <a:rPr lang="pl-PL"/>
                  <a:t>wysokosc kierownicy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/>
            </a:pPr>
            <a:endParaRPr lang="pl-PL"/>
          </a:p>
        </c:txPr>
        <c:crossAx val="608301592"/>
        <c:crossesAt val="0"/>
        <c:crossBetween val="midCat"/>
      </c:valAx>
      <c:spPr>
        <a:noFill/>
        <a:ln>
          <a:solidFill>
            <a:srgbClr val="B3B3B3"/>
          </a:solidFill>
          <a:prstDash val="solid"/>
        </a:ln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sz="1000" b="0"/>
          </a:pPr>
          <a:endParaRPr lang="pl-PL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Arkusz1_2!$D$5:$D$5</c:f>
              <c:strCache>
                <c:ptCount val="1"/>
                <c:pt idx="0">
                  <c:v>Inlet-static</c:v>
                </c:pt>
              </c:strCache>
            </c:strRef>
          </c:tx>
          <c:spPr>
            <a:ln w="28800">
              <a:solidFill>
                <a:srgbClr val="004586"/>
              </a:solidFill>
            </a:ln>
          </c:spPr>
          <c:marker>
            <c:symbol val="none"/>
          </c:marker>
          <c:xVal>
            <c:numRef>
              <c:f>Arkusz1_2!$A$7:$A$15</c:f>
              <c:numCache>
                <c:formatCode>General</c:formatCode>
                <c:ptCount val="9"/>
                <c:pt idx="0">
                  <c:v>40</c:v>
                </c:pt>
                <c:pt idx="1">
                  <c:v>36.363636363636367</c:v>
                </c:pt>
                <c:pt idx="2">
                  <c:v>33.333333333333336</c:v>
                </c:pt>
                <c:pt idx="3">
                  <c:v>30.76923076923077</c:v>
                </c:pt>
                <c:pt idx="4">
                  <c:v>28.571428571428573</c:v>
                </c:pt>
                <c:pt idx="5">
                  <c:v>26.666666666666668</c:v>
                </c:pt>
                <c:pt idx="6">
                  <c:v>25</c:v>
                </c:pt>
                <c:pt idx="7">
                  <c:v>23.529411764705884</c:v>
                </c:pt>
                <c:pt idx="8">
                  <c:v>22.222222222222221</c:v>
                </c:pt>
              </c:numCache>
            </c:numRef>
          </c:xVal>
          <c:yVal>
            <c:numRef>
              <c:f>Arkusz1_2!$D$7:$D$15</c:f>
              <c:numCache>
                <c:formatCode>General</c:formatCode>
                <c:ptCount val="9"/>
                <c:pt idx="0" formatCode="0.0">
                  <c:v>427823.1</c:v>
                </c:pt>
                <c:pt idx="4">
                  <c:v>435503.8</c:v>
                </c:pt>
                <c:pt idx="8">
                  <c:v>437315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FB2-43C8-ABF5-A212EA277CE0}"/>
            </c:ext>
          </c:extLst>
        </c:ser>
        <c:ser>
          <c:idx val="1"/>
          <c:order val="1"/>
          <c:tx>
            <c:strRef>
              <c:f>Arkusz1_2!$E$5:$E$5</c:f>
              <c:strCache>
                <c:ptCount val="1"/>
                <c:pt idx="0">
                  <c:v>Inlet-total</c:v>
                </c:pt>
              </c:strCache>
            </c:strRef>
          </c:tx>
          <c:spPr>
            <a:ln w="28800">
              <a:solidFill>
                <a:srgbClr val="FF420E"/>
              </a:solidFill>
            </a:ln>
          </c:spPr>
          <c:marker>
            <c:symbol val="none"/>
          </c:marker>
          <c:xVal>
            <c:numRef>
              <c:f>Arkusz1_2!$A$7:$A$15</c:f>
              <c:numCache>
                <c:formatCode>General</c:formatCode>
                <c:ptCount val="9"/>
                <c:pt idx="0">
                  <c:v>40</c:v>
                </c:pt>
                <c:pt idx="1">
                  <c:v>36.363636363636367</c:v>
                </c:pt>
                <c:pt idx="2">
                  <c:v>33.333333333333336</c:v>
                </c:pt>
                <c:pt idx="3">
                  <c:v>30.76923076923077</c:v>
                </c:pt>
                <c:pt idx="4">
                  <c:v>28.571428571428573</c:v>
                </c:pt>
                <c:pt idx="5">
                  <c:v>26.666666666666668</c:v>
                </c:pt>
                <c:pt idx="6">
                  <c:v>25</c:v>
                </c:pt>
                <c:pt idx="7">
                  <c:v>23.529411764705884</c:v>
                </c:pt>
                <c:pt idx="8">
                  <c:v>22.222222222222221</c:v>
                </c:pt>
              </c:numCache>
            </c:numRef>
          </c:xVal>
          <c:yVal>
            <c:numRef>
              <c:f>Arkusz1_2!$E$7:$E$15</c:f>
              <c:numCache>
                <c:formatCode>General</c:formatCode>
                <c:ptCount val="9"/>
                <c:pt idx="0" formatCode="0.0">
                  <c:v>462692.8</c:v>
                </c:pt>
                <c:pt idx="4">
                  <c:v>470041.4</c:v>
                </c:pt>
                <c:pt idx="8">
                  <c:v>471566.6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FB2-43C8-ABF5-A212EA277CE0}"/>
            </c:ext>
          </c:extLst>
        </c:ser>
        <c:ser>
          <c:idx val="2"/>
          <c:order val="2"/>
          <c:tx>
            <c:strRef>
              <c:f>Arkusz1_2!$F$5:$F$5</c:f>
              <c:strCache>
                <c:ptCount val="1"/>
                <c:pt idx="0">
                  <c:v>Inlet-static</c:v>
                </c:pt>
              </c:strCache>
            </c:strRef>
          </c:tx>
          <c:spPr>
            <a:ln w="28800">
              <a:solidFill>
                <a:srgbClr val="FFD320"/>
              </a:solidFill>
            </a:ln>
          </c:spPr>
          <c:marker>
            <c:symbol val="none"/>
          </c:marker>
          <c:xVal>
            <c:numRef>
              <c:f>Arkusz1_2!$A$7:$A$15</c:f>
              <c:numCache>
                <c:formatCode>General</c:formatCode>
                <c:ptCount val="9"/>
                <c:pt idx="0">
                  <c:v>40</c:v>
                </c:pt>
                <c:pt idx="1">
                  <c:v>36.363636363636367</c:v>
                </c:pt>
                <c:pt idx="2">
                  <c:v>33.333333333333336</c:v>
                </c:pt>
                <c:pt idx="3">
                  <c:v>30.76923076923077</c:v>
                </c:pt>
                <c:pt idx="4">
                  <c:v>28.571428571428573</c:v>
                </c:pt>
                <c:pt idx="5">
                  <c:v>26.666666666666668</c:v>
                </c:pt>
                <c:pt idx="6">
                  <c:v>25</c:v>
                </c:pt>
                <c:pt idx="7">
                  <c:v>23.529411764705884</c:v>
                </c:pt>
                <c:pt idx="8">
                  <c:v>22.222222222222221</c:v>
                </c:pt>
              </c:numCache>
            </c:numRef>
          </c:xVal>
          <c:yVal>
            <c:numRef>
              <c:f>Arkusz1_2!$F$7:$F$15</c:f>
              <c:numCache>
                <c:formatCode>General</c:formatCode>
                <c:ptCount val="9"/>
                <c:pt idx="0">
                  <c:v>425820.29</c:v>
                </c:pt>
                <c:pt idx="2">
                  <c:v>423634.5</c:v>
                </c:pt>
                <c:pt idx="4">
                  <c:v>422040.2</c:v>
                </c:pt>
                <c:pt idx="6">
                  <c:v>419458.7</c:v>
                </c:pt>
                <c:pt idx="8">
                  <c:v>417542.2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FB2-43C8-ABF5-A212EA277CE0}"/>
            </c:ext>
          </c:extLst>
        </c:ser>
        <c:ser>
          <c:idx val="3"/>
          <c:order val="3"/>
          <c:tx>
            <c:strRef>
              <c:f>Arkusz1_2!$G$5:$G$5</c:f>
              <c:strCache>
                <c:ptCount val="1"/>
                <c:pt idx="0">
                  <c:v>Inlet-total</c:v>
                </c:pt>
              </c:strCache>
            </c:strRef>
          </c:tx>
          <c:spPr>
            <a:ln w="28800">
              <a:solidFill>
                <a:srgbClr val="579D1C"/>
              </a:solidFill>
            </a:ln>
          </c:spPr>
          <c:marker>
            <c:symbol val="none"/>
          </c:marker>
          <c:xVal>
            <c:numRef>
              <c:f>Arkusz1_2!$A$7:$A$15</c:f>
              <c:numCache>
                <c:formatCode>General</c:formatCode>
                <c:ptCount val="9"/>
                <c:pt idx="0">
                  <c:v>40</c:v>
                </c:pt>
                <c:pt idx="1">
                  <c:v>36.363636363636367</c:v>
                </c:pt>
                <c:pt idx="2">
                  <c:v>33.333333333333336</c:v>
                </c:pt>
                <c:pt idx="3">
                  <c:v>30.76923076923077</c:v>
                </c:pt>
                <c:pt idx="4">
                  <c:v>28.571428571428573</c:v>
                </c:pt>
                <c:pt idx="5">
                  <c:v>26.666666666666668</c:v>
                </c:pt>
                <c:pt idx="6">
                  <c:v>25</c:v>
                </c:pt>
                <c:pt idx="7">
                  <c:v>23.529411764705884</c:v>
                </c:pt>
                <c:pt idx="8">
                  <c:v>22.222222222222221</c:v>
                </c:pt>
              </c:numCache>
            </c:numRef>
          </c:xVal>
          <c:yVal>
            <c:numRef>
              <c:f>Arkusz1_2!$G$7:$G$15</c:f>
              <c:numCache>
                <c:formatCode>General</c:formatCode>
                <c:ptCount val="9"/>
                <c:pt idx="0" formatCode="0.0">
                  <c:v>460824.8</c:v>
                </c:pt>
                <c:pt idx="2">
                  <c:v>458794</c:v>
                </c:pt>
                <c:pt idx="4">
                  <c:v>457478.5</c:v>
                </c:pt>
                <c:pt idx="6">
                  <c:v>454893.1</c:v>
                </c:pt>
                <c:pt idx="8">
                  <c:v>453114.6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FB2-43C8-ABF5-A212EA277C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8303032"/>
        <c:axId val="608302312"/>
      </c:scatterChart>
      <c:valAx>
        <c:axId val="608302312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 b="0"/>
                </a:pPr>
                <a:r>
                  <a:rPr lang="pl-PL"/>
                  <a:t>inlet static p [Pa]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/>
            </a:pPr>
            <a:endParaRPr lang="pl-PL"/>
          </a:p>
        </c:txPr>
        <c:crossAx val="608303032"/>
        <c:crossesAt val="0"/>
        <c:crossBetween val="midCat"/>
      </c:valAx>
      <c:valAx>
        <c:axId val="6083030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0"/>
                </a:pPr>
                <a:r>
                  <a:rPr lang="pl-PL"/>
                  <a:t>H [mm]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/>
            </a:pPr>
            <a:endParaRPr lang="pl-PL"/>
          </a:p>
        </c:txPr>
        <c:crossAx val="608302312"/>
        <c:crossesAt val="0"/>
        <c:crossBetween val="midCat"/>
      </c:valAx>
      <c:spPr>
        <a:noFill/>
        <a:ln>
          <a:solidFill>
            <a:srgbClr val="B3B3B3"/>
          </a:solidFill>
          <a:prstDash val="solid"/>
        </a:ln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sz="1000" b="0"/>
          </a:pPr>
          <a:endParaRPr lang="pl-PL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Arkusz1_2!$D$5:$D$5</c:f>
              <c:strCache>
                <c:ptCount val="1"/>
                <c:pt idx="0">
                  <c:v>Inlet-static</c:v>
                </c:pt>
              </c:strCache>
            </c:strRef>
          </c:tx>
          <c:spPr>
            <a:ln w="28800">
              <a:solidFill>
                <a:srgbClr val="004586"/>
              </a:solidFill>
            </a:ln>
          </c:spPr>
          <c:marker>
            <c:symbol val="none"/>
          </c:marker>
          <c:xVal>
            <c:numRef>
              <c:f>Arkusz1_2!$A$40:$A$42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  <c:pt idx="2">
                  <c:v>2</c:v>
                </c:pt>
              </c:numCache>
            </c:numRef>
          </c:xVal>
          <c:yVal>
            <c:numRef>
              <c:f>Arkusz1_2!$B$40:$B$42</c:f>
              <c:numCache>
                <c:formatCode>General</c:formatCode>
                <c:ptCount val="3"/>
                <c:pt idx="0">
                  <c:v>381619.3</c:v>
                </c:pt>
                <c:pt idx="1">
                  <c:v>370132.5</c:v>
                </c:pt>
                <c:pt idx="2">
                  <c:v>359284.3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8CB-4C65-8A79-2A61377EB834}"/>
            </c:ext>
          </c:extLst>
        </c:ser>
        <c:ser>
          <c:idx val="1"/>
          <c:order val="1"/>
          <c:tx>
            <c:strRef>
              <c:f>Arkusz1_2!$E$5:$E$5</c:f>
              <c:strCache>
                <c:ptCount val="1"/>
                <c:pt idx="0">
                  <c:v>Inlet-total</c:v>
                </c:pt>
              </c:strCache>
            </c:strRef>
          </c:tx>
          <c:spPr>
            <a:ln w="28800">
              <a:solidFill>
                <a:srgbClr val="FF420E"/>
              </a:solidFill>
            </a:ln>
          </c:spPr>
          <c:marker>
            <c:symbol val="none"/>
          </c:marker>
          <c:xVal>
            <c:numRef>
              <c:f>Arkusz1_2!$A$40:$A$42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  <c:pt idx="2">
                  <c:v>2</c:v>
                </c:pt>
              </c:numCache>
            </c:numRef>
          </c:xVal>
          <c:yVal>
            <c:numRef>
              <c:f>Arkusz1_2!$C$40:$C$42</c:f>
              <c:numCache>
                <c:formatCode>General</c:formatCode>
                <c:ptCount val="3"/>
                <c:pt idx="0">
                  <c:v>419867.5</c:v>
                </c:pt>
                <c:pt idx="1">
                  <c:v>409323.6</c:v>
                </c:pt>
                <c:pt idx="2">
                  <c:v>399409.9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8CB-4C65-8A79-2A61377EB8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1754960"/>
        <c:axId val="441756400"/>
      </c:scatterChart>
      <c:valAx>
        <c:axId val="441756400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 b="0"/>
                </a:pPr>
                <a:r>
                  <a:rPr lang="pl-PL"/>
                  <a:t>[Pa]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/>
            </a:pPr>
            <a:endParaRPr lang="pl-PL"/>
          </a:p>
        </c:txPr>
        <c:crossAx val="441754960"/>
        <c:crossesAt val="0"/>
        <c:crossBetween val="midCat"/>
      </c:valAx>
      <c:valAx>
        <c:axId val="4417549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0"/>
                </a:pPr>
                <a:r>
                  <a:rPr lang="pl-PL"/>
                  <a:t>wysokosc kierownicy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/>
            </a:pPr>
            <a:endParaRPr lang="pl-PL"/>
          </a:p>
        </c:txPr>
        <c:crossAx val="441756400"/>
        <c:crossesAt val="0"/>
        <c:crossBetween val="midCat"/>
      </c:valAx>
      <c:spPr>
        <a:noFill/>
        <a:ln>
          <a:solidFill>
            <a:srgbClr val="B3B3B3"/>
          </a:solidFill>
          <a:prstDash val="solid"/>
        </a:ln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sz="1000" b="0"/>
          </a:pPr>
          <a:endParaRPr lang="pl-PL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Arkusz1!$D$5:$D$5</c:f>
              <c:strCache>
                <c:ptCount val="1"/>
                <c:pt idx="0">
                  <c:v>Inlet-static</c:v>
                </c:pt>
              </c:strCache>
            </c:strRef>
          </c:tx>
          <c:spPr>
            <a:ln w="28800">
              <a:solidFill>
                <a:srgbClr val="004586"/>
              </a:solidFill>
            </a:ln>
          </c:spPr>
          <c:marker>
            <c:symbol val="none"/>
          </c:marker>
          <c:xVal>
            <c:numRef>
              <c:f>Arkusz1!$A$7:$A$15</c:f>
              <c:numCache>
                <c:formatCode>General</c:formatCode>
                <c:ptCount val="9"/>
                <c:pt idx="0">
                  <c:v>40</c:v>
                </c:pt>
                <c:pt idx="1">
                  <c:v>36.363636363636367</c:v>
                </c:pt>
                <c:pt idx="2">
                  <c:v>33.333333333333336</c:v>
                </c:pt>
                <c:pt idx="3">
                  <c:v>30.76923076923077</c:v>
                </c:pt>
                <c:pt idx="4">
                  <c:v>28.571428571428573</c:v>
                </c:pt>
                <c:pt idx="5">
                  <c:v>26.666666666666668</c:v>
                </c:pt>
                <c:pt idx="6">
                  <c:v>25</c:v>
                </c:pt>
                <c:pt idx="7">
                  <c:v>23.529411764705884</c:v>
                </c:pt>
                <c:pt idx="8">
                  <c:v>22.222222222222221</c:v>
                </c:pt>
              </c:numCache>
            </c:numRef>
          </c:xVal>
          <c:yVal>
            <c:numRef>
              <c:f>Arkusz1!$D$7:$D$15</c:f>
              <c:numCache>
                <c:formatCode>General</c:formatCode>
                <c:ptCount val="9"/>
                <c:pt idx="0" formatCode="0.0">
                  <c:v>427823.1</c:v>
                </c:pt>
                <c:pt idx="4">
                  <c:v>435503.8</c:v>
                </c:pt>
                <c:pt idx="8">
                  <c:v>437315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E2C-4D85-840A-C3A1379A92A1}"/>
            </c:ext>
          </c:extLst>
        </c:ser>
        <c:ser>
          <c:idx val="1"/>
          <c:order val="1"/>
          <c:tx>
            <c:strRef>
              <c:f>Arkusz1!$E$5:$E$5</c:f>
              <c:strCache>
                <c:ptCount val="1"/>
                <c:pt idx="0">
                  <c:v>Inlet-total</c:v>
                </c:pt>
              </c:strCache>
            </c:strRef>
          </c:tx>
          <c:spPr>
            <a:ln w="28800">
              <a:solidFill>
                <a:srgbClr val="FF420E"/>
              </a:solidFill>
            </a:ln>
          </c:spPr>
          <c:marker>
            <c:symbol val="none"/>
          </c:marker>
          <c:xVal>
            <c:numRef>
              <c:f>Arkusz1!$A$7:$A$15</c:f>
              <c:numCache>
                <c:formatCode>General</c:formatCode>
                <c:ptCount val="9"/>
                <c:pt idx="0">
                  <c:v>40</c:v>
                </c:pt>
                <c:pt idx="1">
                  <c:v>36.363636363636367</c:v>
                </c:pt>
                <c:pt idx="2">
                  <c:v>33.333333333333336</c:v>
                </c:pt>
                <c:pt idx="3">
                  <c:v>30.76923076923077</c:v>
                </c:pt>
                <c:pt idx="4">
                  <c:v>28.571428571428573</c:v>
                </c:pt>
                <c:pt idx="5">
                  <c:v>26.666666666666668</c:v>
                </c:pt>
                <c:pt idx="6">
                  <c:v>25</c:v>
                </c:pt>
                <c:pt idx="7">
                  <c:v>23.529411764705884</c:v>
                </c:pt>
                <c:pt idx="8">
                  <c:v>22.222222222222221</c:v>
                </c:pt>
              </c:numCache>
            </c:numRef>
          </c:xVal>
          <c:yVal>
            <c:numRef>
              <c:f>Arkusz1!$E$7:$E$15</c:f>
              <c:numCache>
                <c:formatCode>General</c:formatCode>
                <c:ptCount val="9"/>
                <c:pt idx="0" formatCode="0.0">
                  <c:v>462692.8</c:v>
                </c:pt>
                <c:pt idx="4">
                  <c:v>470041.4</c:v>
                </c:pt>
                <c:pt idx="8">
                  <c:v>471566.6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E2C-4D85-840A-C3A1379A92A1}"/>
            </c:ext>
          </c:extLst>
        </c:ser>
        <c:ser>
          <c:idx val="2"/>
          <c:order val="2"/>
          <c:tx>
            <c:strRef>
              <c:f>Arkusz1!$F$5:$F$5</c:f>
              <c:strCache>
                <c:ptCount val="1"/>
                <c:pt idx="0">
                  <c:v>Inlet-static</c:v>
                </c:pt>
              </c:strCache>
            </c:strRef>
          </c:tx>
          <c:spPr>
            <a:ln w="28800">
              <a:solidFill>
                <a:srgbClr val="FFD320"/>
              </a:solidFill>
            </a:ln>
          </c:spPr>
          <c:marker>
            <c:symbol val="none"/>
          </c:marker>
          <c:xVal>
            <c:numRef>
              <c:f>Arkusz1!$A$7:$A$15</c:f>
              <c:numCache>
                <c:formatCode>General</c:formatCode>
                <c:ptCount val="9"/>
                <c:pt idx="0">
                  <c:v>40</c:v>
                </c:pt>
                <c:pt idx="1">
                  <c:v>36.363636363636367</c:v>
                </c:pt>
                <c:pt idx="2">
                  <c:v>33.333333333333336</c:v>
                </c:pt>
                <c:pt idx="3">
                  <c:v>30.76923076923077</c:v>
                </c:pt>
                <c:pt idx="4">
                  <c:v>28.571428571428573</c:v>
                </c:pt>
                <c:pt idx="5">
                  <c:v>26.666666666666668</c:v>
                </c:pt>
                <c:pt idx="6">
                  <c:v>25</c:v>
                </c:pt>
                <c:pt idx="7">
                  <c:v>23.529411764705884</c:v>
                </c:pt>
                <c:pt idx="8">
                  <c:v>22.222222222222221</c:v>
                </c:pt>
              </c:numCache>
            </c:numRef>
          </c:xVal>
          <c:yVal>
            <c:numRef>
              <c:f>Arkusz1!$F$7:$F$15</c:f>
              <c:numCache>
                <c:formatCode>General</c:formatCode>
                <c:ptCount val="9"/>
                <c:pt idx="0" formatCode="0.0">
                  <c:v>423560.2</c:v>
                </c:pt>
                <c:pt idx="2">
                  <c:v>427691.8</c:v>
                </c:pt>
                <c:pt idx="4">
                  <c:v>427071.9</c:v>
                </c:pt>
                <c:pt idx="6">
                  <c:v>424456</c:v>
                </c:pt>
                <c:pt idx="8">
                  <c:v>423274.5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E2C-4D85-840A-C3A1379A92A1}"/>
            </c:ext>
          </c:extLst>
        </c:ser>
        <c:ser>
          <c:idx val="3"/>
          <c:order val="3"/>
          <c:tx>
            <c:strRef>
              <c:f>Arkusz1!$G$5:$G$5</c:f>
              <c:strCache>
                <c:ptCount val="1"/>
                <c:pt idx="0">
                  <c:v>Inlet-total</c:v>
                </c:pt>
              </c:strCache>
            </c:strRef>
          </c:tx>
          <c:spPr>
            <a:ln w="28800">
              <a:solidFill>
                <a:srgbClr val="579D1C"/>
              </a:solidFill>
            </a:ln>
          </c:spPr>
          <c:marker>
            <c:symbol val="none"/>
          </c:marker>
          <c:xVal>
            <c:numRef>
              <c:f>Arkusz1!$A$7:$A$15</c:f>
              <c:numCache>
                <c:formatCode>General</c:formatCode>
                <c:ptCount val="9"/>
                <c:pt idx="0">
                  <c:v>40</c:v>
                </c:pt>
                <c:pt idx="1">
                  <c:v>36.363636363636367</c:v>
                </c:pt>
                <c:pt idx="2">
                  <c:v>33.333333333333336</c:v>
                </c:pt>
                <c:pt idx="3">
                  <c:v>30.76923076923077</c:v>
                </c:pt>
                <c:pt idx="4">
                  <c:v>28.571428571428573</c:v>
                </c:pt>
                <c:pt idx="5">
                  <c:v>26.666666666666668</c:v>
                </c:pt>
                <c:pt idx="6">
                  <c:v>25</c:v>
                </c:pt>
                <c:pt idx="7">
                  <c:v>23.529411764705884</c:v>
                </c:pt>
                <c:pt idx="8">
                  <c:v>22.222222222222221</c:v>
                </c:pt>
              </c:numCache>
            </c:numRef>
          </c:xVal>
          <c:yVal>
            <c:numRef>
              <c:f>Arkusz1!$G$7:$G$15</c:f>
              <c:numCache>
                <c:formatCode>General</c:formatCode>
                <c:ptCount val="9"/>
                <c:pt idx="0" formatCode="0.0">
                  <c:v>458728.5</c:v>
                </c:pt>
                <c:pt idx="2">
                  <c:v>462578.2</c:v>
                </c:pt>
                <c:pt idx="4">
                  <c:v>462175.1</c:v>
                </c:pt>
                <c:pt idx="6">
                  <c:v>459556</c:v>
                </c:pt>
                <c:pt idx="8">
                  <c:v>458454.8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E2C-4D85-840A-C3A1379A92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1760720"/>
        <c:axId val="441755680"/>
      </c:scatterChart>
      <c:valAx>
        <c:axId val="441755680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 b="0"/>
                </a:pPr>
                <a:r>
                  <a:rPr lang="pl-PL"/>
                  <a:t>inlet static p [Pa]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/>
            </a:pPr>
            <a:endParaRPr lang="pl-PL"/>
          </a:p>
        </c:txPr>
        <c:crossAx val="441760720"/>
        <c:crossesAt val="0"/>
        <c:crossBetween val="midCat"/>
      </c:valAx>
      <c:valAx>
        <c:axId val="4417607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0"/>
                </a:pPr>
                <a:r>
                  <a:rPr lang="pl-PL"/>
                  <a:t>H [mm]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/>
            </a:pPr>
            <a:endParaRPr lang="pl-PL"/>
          </a:p>
        </c:txPr>
        <c:crossAx val="441755680"/>
        <c:crossesAt val="0"/>
        <c:crossBetween val="midCat"/>
      </c:valAx>
      <c:spPr>
        <a:noFill/>
        <a:ln>
          <a:solidFill>
            <a:srgbClr val="B3B3B3"/>
          </a:solidFill>
          <a:prstDash val="solid"/>
        </a:ln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sz="1000" b="0"/>
          </a:pPr>
          <a:endParaRPr lang="pl-PL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Arkusz1!$D$5:$D$5</c:f>
              <c:strCache>
                <c:ptCount val="1"/>
                <c:pt idx="0">
                  <c:v>Inlet-static</c:v>
                </c:pt>
              </c:strCache>
            </c:strRef>
          </c:tx>
          <c:spPr>
            <a:ln w="28800">
              <a:solidFill>
                <a:srgbClr val="004586"/>
              </a:solidFill>
            </a:ln>
          </c:spPr>
          <c:marker>
            <c:symbol val="none"/>
          </c:marker>
          <c:xVal>
            <c:numRef>
              <c:f>Arkusz1!$A$40:$A$42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  <c:pt idx="2">
                  <c:v>2</c:v>
                </c:pt>
              </c:numCache>
            </c:numRef>
          </c:xVal>
          <c:yVal>
            <c:numRef>
              <c:f>Arkusz1!$B$40:$B$42</c:f>
              <c:numCache>
                <c:formatCode>General</c:formatCode>
                <c:ptCount val="3"/>
                <c:pt idx="0">
                  <c:v>370201.1</c:v>
                </c:pt>
                <c:pt idx="1">
                  <c:v>370132.5</c:v>
                </c:pt>
                <c:pt idx="2">
                  <c:v>359284.3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540-4339-A2AF-D9689E4DC070}"/>
            </c:ext>
          </c:extLst>
        </c:ser>
        <c:ser>
          <c:idx val="1"/>
          <c:order val="1"/>
          <c:tx>
            <c:strRef>
              <c:f>Arkusz1!$E$5:$E$5</c:f>
              <c:strCache>
                <c:ptCount val="1"/>
                <c:pt idx="0">
                  <c:v>Inlet-total</c:v>
                </c:pt>
              </c:strCache>
            </c:strRef>
          </c:tx>
          <c:spPr>
            <a:ln w="28800">
              <a:solidFill>
                <a:srgbClr val="FF420E"/>
              </a:solidFill>
            </a:ln>
          </c:spPr>
          <c:marker>
            <c:symbol val="none"/>
          </c:marker>
          <c:xVal>
            <c:numRef>
              <c:f>Arkusz1!$A$40:$A$42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  <c:pt idx="2">
                  <c:v>2</c:v>
                </c:pt>
              </c:numCache>
            </c:numRef>
          </c:xVal>
          <c:yVal>
            <c:numRef>
              <c:f>Arkusz1!$C$40:$C$42</c:f>
              <c:numCache>
                <c:formatCode>General</c:formatCode>
                <c:ptCount val="3"/>
                <c:pt idx="0">
                  <c:v>409386.5</c:v>
                </c:pt>
                <c:pt idx="1">
                  <c:v>409323.6</c:v>
                </c:pt>
                <c:pt idx="2">
                  <c:v>399409.9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540-4339-A2AF-D9689E4DC0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1757480"/>
        <c:axId val="441762880"/>
      </c:scatterChart>
      <c:valAx>
        <c:axId val="441762880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 b="0"/>
                </a:pPr>
                <a:r>
                  <a:rPr lang="pl-PL"/>
                  <a:t>[Pa]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/>
            </a:pPr>
            <a:endParaRPr lang="pl-PL"/>
          </a:p>
        </c:txPr>
        <c:crossAx val="441757480"/>
        <c:crossesAt val="0"/>
        <c:crossBetween val="midCat"/>
      </c:valAx>
      <c:valAx>
        <c:axId val="4417574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0"/>
                </a:pPr>
                <a:r>
                  <a:rPr lang="pl-PL"/>
                  <a:t>wysokosc kierownicy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/>
            </a:pPr>
            <a:endParaRPr lang="pl-PL"/>
          </a:p>
        </c:txPr>
        <c:crossAx val="441762880"/>
        <c:crossesAt val="0"/>
        <c:crossBetween val="midCat"/>
      </c:valAx>
      <c:spPr>
        <a:noFill/>
        <a:ln>
          <a:solidFill>
            <a:srgbClr val="B3B3B3"/>
          </a:solidFill>
          <a:prstDash val="solid"/>
        </a:ln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sz="1000" b="0"/>
          </a:pPr>
          <a:endParaRPr lang="pl-PL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9.xml"/><Relationship Id="rId1" Type="http://schemas.openxmlformats.org/officeDocument/2006/relationships/chart" Target="../charts/chart18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1.xml"/><Relationship Id="rId1" Type="http://schemas.openxmlformats.org/officeDocument/2006/relationships/chart" Target="../charts/chart2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677</xdr:colOff>
      <xdr:row>4</xdr:row>
      <xdr:rowOff>189138</xdr:rowOff>
    </xdr:from>
    <xdr:to>
      <xdr:col>34</xdr:col>
      <xdr:colOff>249832</xdr:colOff>
      <xdr:row>33</xdr:row>
      <xdr:rowOff>25556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26220D97-0343-0FD7-3B8C-BC83E988EE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0</xdr:colOff>
      <xdr:row>34</xdr:row>
      <xdr:rowOff>0</xdr:rowOff>
    </xdr:from>
    <xdr:to>
      <xdr:col>34</xdr:col>
      <xdr:colOff>249155</xdr:colOff>
      <xdr:row>62</xdr:row>
      <xdr:rowOff>26918</xdr:rowOff>
    </xdr:to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BC59C257-175C-4FFA-9B74-A20BC78D9F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653895" y="3382500"/>
    <xdr:ext cx="5753880" cy="2982600"/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31A7AC2A-F5B2-EE95-26B5-BDCDA517FA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  <xdr:absoluteAnchor>
    <xdr:pos x="2359800" y="6228360"/>
    <xdr:ext cx="5759640" cy="2980440"/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C4366FBA-653C-117C-3073-A387B29291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absoluteAnchor>
  <xdr:absoluteAnchor>
    <xdr:pos x="9362520" y="2940479"/>
    <xdr:ext cx="5759640" cy="3239640"/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058CFEC4-0860-EB8B-38A6-8CEE74BB02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absoluteAnchor>
  <xdr:absoluteAnchor>
    <xdr:pos x="12486240" y="6578639"/>
    <xdr:ext cx="5443920" cy="2980440"/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9CE9222A-80BF-010D-DFAE-62180AF1FC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absoluteAnchor>
  <xdr:absoluteAnchor>
    <xdr:pos x="5690160" y="11504880"/>
    <xdr:ext cx="5759640" cy="3242160"/>
    <xdr:graphicFrame macro="">
      <xdr:nvGraphicFramePr>
        <xdr:cNvPr id="6" name="Wykres 5">
          <a:extLst>
            <a:ext uri="{FF2B5EF4-FFF2-40B4-BE49-F238E27FC236}">
              <a16:creationId xmlns:a16="http://schemas.microsoft.com/office/drawing/2014/main" id="{8412BFF7-3D5A-36AC-D603-E3F6B0252F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absoluteAnchor>
  <xdr:twoCellAnchor>
    <xdr:from>
      <xdr:col>37</xdr:col>
      <xdr:colOff>457200</xdr:colOff>
      <xdr:row>14</xdr:row>
      <xdr:rowOff>138112</xdr:rowOff>
    </xdr:from>
    <xdr:to>
      <xdr:col>45</xdr:col>
      <xdr:colOff>152400</xdr:colOff>
      <xdr:row>30</xdr:row>
      <xdr:rowOff>100012</xdr:rowOff>
    </xdr:to>
    <xdr:graphicFrame macro="">
      <xdr:nvGraphicFramePr>
        <xdr:cNvPr id="8" name="Wykres 7">
          <a:extLst>
            <a:ext uri="{FF2B5EF4-FFF2-40B4-BE49-F238E27FC236}">
              <a16:creationId xmlns:a16="http://schemas.microsoft.com/office/drawing/2014/main" id="{31EAE8EE-DD5D-1A43-7E10-E80B78EEEE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49</xdr:col>
      <xdr:colOff>457200</xdr:colOff>
      <xdr:row>14</xdr:row>
      <xdr:rowOff>138112</xdr:rowOff>
    </xdr:from>
    <xdr:to>
      <xdr:col>57</xdr:col>
      <xdr:colOff>152400</xdr:colOff>
      <xdr:row>30</xdr:row>
      <xdr:rowOff>100012</xdr:rowOff>
    </xdr:to>
    <xdr:graphicFrame macro="">
      <xdr:nvGraphicFramePr>
        <xdr:cNvPr id="7" name="Wykres 6">
          <a:extLst>
            <a:ext uri="{FF2B5EF4-FFF2-40B4-BE49-F238E27FC236}">
              <a16:creationId xmlns:a16="http://schemas.microsoft.com/office/drawing/2014/main" id="{797164C0-75CD-406E-83BD-0264FF1B40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34</xdr:col>
      <xdr:colOff>23812</xdr:colOff>
      <xdr:row>49</xdr:row>
      <xdr:rowOff>57151</xdr:rowOff>
    </xdr:from>
    <xdr:to>
      <xdr:col>47</xdr:col>
      <xdr:colOff>52387</xdr:colOff>
      <xdr:row>75</xdr:row>
      <xdr:rowOff>41909</xdr:rowOff>
    </xdr:to>
    <xdr:graphicFrame macro="">
      <xdr:nvGraphicFramePr>
        <xdr:cNvPr id="9" name="Wykres 8">
          <a:extLst>
            <a:ext uri="{FF2B5EF4-FFF2-40B4-BE49-F238E27FC236}">
              <a16:creationId xmlns:a16="http://schemas.microsoft.com/office/drawing/2014/main" id="{A3B218A6-6D00-E910-CF0E-C44EB97221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34</xdr:col>
      <xdr:colOff>23812</xdr:colOff>
      <xdr:row>86</xdr:row>
      <xdr:rowOff>57151</xdr:rowOff>
    </xdr:from>
    <xdr:to>
      <xdr:col>47</xdr:col>
      <xdr:colOff>52387</xdr:colOff>
      <xdr:row>112</xdr:row>
      <xdr:rowOff>41909</xdr:rowOff>
    </xdr:to>
    <xdr:graphicFrame macro="">
      <xdr:nvGraphicFramePr>
        <xdr:cNvPr id="10" name="Wykres 9">
          <a:extLst>
            <a:ext uri="{FF2B5EF4-FFF2-40B4-BE49-F238E27FC236}">
              <a16:creationId xmlns:a16="http://schemas.microsoft.com/office/drawing/2014/main" id="{A110B38A-DF04-4650-B24C-3CDD7BEEBB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34</xdr:col>
      <xdr:colOff>23812</xdr:colOff>
      <xdr:row>123</xdr:row>
      <xdr:rowOff>57151</xdr:rowOff>
    </xdr:from>
    <xdr:to>
      <xdr:col>47</xdr:col>
      <xdr:colOff>52387</xdr:colOff>
      <xdr:row>149</xdr:row>
      <xdr:rowOff>41909</xdr:rowOff>
    </xdr:to>
    <xdr:graphicFrame macro="">
      <xdr:nvGraphicFramePr>
        <xdr:cNvPr id="11" name="Wykres 10">
          <a:extLst>
            <a:ext uri="{FF2B5EF4-FFF2-40B4-BE49-F238E27FC236}">
              <a16:creationId xmlns:a16="http://schemas.microsoft.com/office/drawing/2014/main" id="{2F971DB9-07B1-48F8-A51A-D334D42E3B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80</xdr:col>
      <xdr:colOff>470646</xdr:colOff>
      <xdr:row>33</xdr:row>
      <xdr:rowOff>161364</xdr:rowOff>
    </xdr:from>
    <xdr:to>
      <xdr:col>88</xdr:col>
      <xdr:colOff>22411</xdr:colOff>
      <xdr:row>49</xdr:row>
      <xdr:rowOff>26894</xdr:rowOff>
    </xdr:to>
    <xdr:graphicFrame macro="">
      <xdr:nvGraphicFramePr>
        <xdr:cNvPr id="12" name="Wykres 11">
          <a:extLst>
            <a:ext uri="{FF2B5EF4-FFF2-40B4-BE49-F238E27FC236}">
              <a16:creationId xmlns:a16="http://schemas.microsoft.com/office/drawing/2014/main" id="{6DBAC4A2-B7E4-55E6-2CD2-59C86EC8F5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90487</xdr:colOff>
      <xdr:row>33</xdr:row>
      <xdr:rowOff>128587</xdr:rowOff>
    </xdr:from>
    <xdr:to>
      <xdr:col>33</xdr:col>
      <xdr:colOff>395287</xdr:colOff>
      <xdr:row>48</xdr:row>
      <xdr:rowOff>14287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436056D8-0D90-C6FF-4E61-55997FFADB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285750</xdr:colOff>
      <xdr:row>13</xdr:row>
      <xdr:rowOff>33337</xdr:rowOff>
    </xdr:from>
    <xdr:to>
      <xdr:col>31</xdr:col>
      <xdr:colOff>590550</xdr:colOff>
      <xdr:row>27</xdr:row>
      <xdr:rowOff>109537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138DE2B7-25FF-9DBE-D7C1-E45E53B87C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625320" y="3115800"/>
    <xdr:ext cx="5753880" cy="2982600"/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A5C38352-B95C-B812-052F-7FA1DA118B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  <xdr:absoluteAnchor>
    <xdr:pos x="2359800" y="6228360"/>
    <xdr:ext cx="5759640" cy="2980440"/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452EE539-2B36-3190-25C7-77C716F57E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601920" y="2858040"/>
    <xdr:ext cx="5753880" cy="3241800"/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40C7946E-F31A-42A0-8027-702ACC4CF3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  <xdr:absoluteAnchor>
    <xdr:pos x="2359800" y="6769800"/>
    <xdr:ext cx="5759640" cy="3239640"/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DDF1C126-608A-A490-5441-83222A5959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36000" y="2977200"/>
    <xdr:ext cx="5753880" cy="3241800"/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00B15D13-CDCC-930F-98FB-EA55922B95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  <xdr:absoluteAnchor>
    <xdr:pos x="2359800" y="6769800"/>
    <xdr:ext cx="5759640" cy="3239640"/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FDA00755-774E-7881-BDB8-57DD346509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absolute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7E8EEFC-3C88-44FE-8863-E153E23E2C03}" name="Tabela2" displayName="Tabela2" ref="R11:T402" totalsRowCount="1">
  <autoFilter ref="R11:T401" xr:uid="{D7E8EEFC-3C88-44FE-8863-E153E23E2C03}"/>
  <sortState xmlns:xlrd2="http://schemas.microsoft.com/office/spreadsheetml/2017/richdata2" ref="R12:T401">
    <sortCondition ref="R11:R401"/>
  </sortState>
  <tableColumns count="3">
    <tableColumn id="1" xr3:uid="{7F914EB1-C0C8-4FC5-9A31-EC470CAE4239}" name="Kolumna1"/>
    <tableColumn id="2" xr3:uid="{D2C8A202-8530-4DC6-927F-5913B07B6C81}" name="time" totalsRowFunction="custom">
      <totalsRowFormula>$S$400+S14</totalsRowFormula>
    </tableColumn>
    <tableColumn id="3" xr3:uid="{121D2219-B103-40C6-ADB7-1C00E394F504}" name="mass-flow-r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E1EF6-2919-4B18-9025-AB578E2CCF22}">
  <dimension ref="A1:U397"/>
  <sheetViews>
    <sheetView tabSelected="1" topLeftCell="F28" zoomScale="70" zoomScaleNormal="70" workbookViewId="0">
      <selection activeCell="V37" sqref="V37"/>
    </sheetView>
  </sheetViews>
  <sheetFormatPr defaultRowHeight="15" x14ac:dyDescent="0.25"/>
  <sheetData>
    <row r="1" spans="1:21" x14ac:dyDescent="0.25">
      <c r="A1" s="12" t="s">
        <v>26</v>
      </c>
      <c r="B1" s="12"/>
      <c r="C1" s="12"/>
      <c r="D1" s="12"/>
      <c r="E1" s="12" t="s">
        <v>27</v>
      </c>
      <c r="F1" s="12"/>
      <c r="G1" s="12"/>
      <c r="H1" s="12"/>
      <c r="I1" s="12" t="s">
        <v>28</v>
      </c>
      <c r="J1" s="12"/>
      <c r="K1" s="12"/>
      <c r="L1" s="12"/>
      <c r="M1" s="12" t="s">
        <v>29</v>
      </c>
      <c r="N1" s="12"/>
      <c r="O1" s="12"/>
      <c r="P1" s="12"/>
      <c r="R1" s="12" t="s">
        <v>1260</v>
      </c>
      <c r="S1" s="12"/>
      <c r="T1" s="12"/>
      <c r="U1" s="12"/>
    </row>
    <row r="2" spans="1:21" x14ac:dyDescent="0.25">
      <c r="A2" t="s">
        <v>334</v>
      </c>
      <c r="E2" t="s">
        <v>334</v>
      </c>
      <c r="I2" t="s">
        <v>336</v>
      </c>
      <c r="M2" t="s">
        <v>335</v>
      </c>
    </row>
    <row r="4" spans="1:21" x14ac:dyDescent="0.25">
      <c r="A4" t="s">
        <v>330</v>
      </c>
      <c r="B4" t="s">
        <v>331</v>
      </c>
      <c r="C4" t="s">
        <v>908</v>
      </c>
      <c r="D4" t="s">
        <v>332</v>
      </c>
      <c r="E4" t="s">
        <v>330</v>
      </c>
      <c r="F4" t="s">
        <v>331</v>
      </c>
      <c r="G4" t="s">
        <v>908</v>
      </c>
      <c r="H4" t="s">
        <v>332</v>
      </c>
      <c r="I4" t="s">
        <v>330</v>
      </c>
      <c r="J4" t="s">
        <v>331</v>
      </c>
      <c r="K4" t="s">
        <v>908</v>
      </c>
      <c r="L4" t="s">
        <v>332</v>
      </c>
      <c r="M4" t="s">
        <v>330</v>
      </c>
      <c r="N4" t="s">
        <v>331</v>
      </c>
      <c r="O4" t="s">
        <v>908</v>
      </c>
      <c r="P4" t="s">
        <v>332</v>
      </c>
      <c r="R4" t="s">
        <v>1261</v>
      </c>
      <c r="S4" t="s">
        <v>1262</v>
      </c>
      <c r="T4" t="s">
        <v>1263</v>
      </c>
      <c r="U4" t="s">
        <v>1264</v>
      </c>
    </row>
    <row r="5" spans="1:21" x14ac:dyDescent="0.25">
      <c r="A5">
        <v>0</v>
      </c>
      <c r="B5">
        <v>299999.7</v>
      </c>
      <c r="C5">
        <v>300000</v>
      </c>
      <c r="D5">
        <v>0</v>
      </c>
      <c r="E5">
        <v>0</v>
      </c>
      <c r="F5">
        <v>299999.8</v>
      </c>
      <c r="G5">
        <v>299999.8</v>
      </c>
      <c r="H5">
        <v>0</v>
      </c>
      <c r="I5">
        <v>0</v>
      </c>
      <c r="J5">
        <v>299999.7</v>
      </c>
      <c r="K5">
        <v>299999.7</v>
      </c>
      <c r="L5">
        <v>0</v>
      </c>
      <c r="M5">
        <v>0</v>
      </c>
      <c r="N5">
        <v>300000.09999999998</v>
      </c>
      <c r="O5">
        <v>300000.2</v>
      </c>
      <c r="P5">
        <v>0</v>
      </c>
    </row>
    <row r="6" spans="1:21" x14ac:dyDescent="0.25">
      <c r="A6">
        <v>1</v>
      </c>
      <c r="B6">
        <v>299999.7</v>
      </c>
      <c r="C6">
        <v>300000</v>
      </c>
      <c r="D6">
        <v>2.7779999999999998E-4</v>
      </c>
      <c r="E6">
        <v>1</v>
      </c>
      <c r="F6">
        <v>299999.8</v>
      </c>
      <c r="G6">
        <v>299999.8</v>
      </c>
      <c r="H6">
        <v>2.7779999999999998E-4</v>
      </c>
      <c r="I6">
        <v>1</v>
      </c>
      <c r="J6">
        <v>299999.7</v>
      </c>
      <c r="K6">
        <v>299999.7</v>
      </c>
      <c r="L6">
        <v>2.7779999999999998E-4</v>
      </c>
      <c r="M6">
        <v>1</v>
      </c>
      <c r="N6">
        <v>300000.09999999998</v>
      </c>
      <c r="O6">
        <v>300000.2</v>
      </c>
      <c r="P6">
        <v>2.7779999999999998E-4</v>
      </c>
      <c r="R6">
        <v>327744.40000000002</v>
      </c>
      <c r="S6">
        <v>300850.7</v>
      </c>
      <c r="T6">
        <v>331807.31700000004</v>
      </c>
      <c r="U6">
        <v>301004.80060000002</v>
      </c>
    </row>
    <row r="7" spans="1:21" x14ac:dyDescent="0.25">
      <c r="A7">
        <v>2</v>
      </c>
      <c r="B7">
        <v>300407.7</v>
      </c>
      <c r="C7">
        <v>300407.2</v>
      </c>
      <c r="D7">
        <v>5.5559999999999995E-4</v>
      </c>
      <c r="E7">
        <v>2</v>
      </c>
      <c r="F7">
        <v>300407.40000000002</v>
      </c>
      <c r="G7">
        <v>300406.8</v>
      </c>
      <c r="H7">
        <v>5.5559999999999995E-4</v>
      </c>
      <c r="I7">
        <v>2</v>
      </c>
      <c r="J7">
        <v>300456.3</v>
      </c>
      <c r="K7">
        <v>300455.90000000002</v>
      </c>
      <c r="L7">
        <v>5.5559999999999995E-4</v>
      </c>
      <c r="M7">
        <v>2</v>
      </c>
      <c r="N7">
        <v>300453.5</v>
      </c>
      <c r="O7">
        <v>300452.90000000002</v>
      </c>
      <c r="P7">
        <v>5.5559999999999995E-4</v>
      </c>
      <c r="R7">
        <v>330017.09999999998</v>
      </c>
      <c r="S7">
        <v>305555.09999999998</v>
      </c>
      <c r="T7">
        <v>335283.26299999998</v>
      </c>
      <c r="U7">
        <v>307047.973</v>
      </c>
    </row>
    <row r="8" spans="1:21" x14ac:dyDescent="0.25">
      <c r="A8">
        <v>3</v>
      </c>
      <c r="B8">
        <v>301360.7</v>
      </c>
      <c r="C8">
        <v>301445.2</v>
      </c>
      <c r="D8">
        <v>8.3339989999999995E-4</v>
      </c>
      <c r="E8">
        <v>3</v>
      </c>
      <c r="F8">
        <v>301358.8</v>
      </c>
      <c r="G8">
        <v>301443.5</v>
      </c>
      <c r="H8">
        <v>8.3339989999999995E-4</v>
      </c>
      <c r="I8">
        <v>3</v>
      </c>
      <c r="J8">
        <v>301495.7</v>
      </c>
      <c r="K8">
        <v>301580.59999999998</v>
      </c>
      <c r="L8">
        <v>8.3339989999999995E-4</v>
      </c>
      <c r="M8">
        <v>3</v>
      </c>
      <c r="N8">
        <v>301489.59999999998</v>
      </c>
      <c r="O8">
        <v>301574.09999999998</v>
      </c>
      <c r="P8">
        <v>8.3339989999999995E-4</v>
      </c>
      <c r="R8">
        <v>332607</v>
      </c>
      <c r="S8">
        <v>309658</v>
      </c>
      <c r="T8">
        <v>338414.82500000001</v>
      </c>
      <c r="U8">
        <v>314155.31199999998</v>
      </c>
    </row>
    <row r="9" spans="1:21" x14ac:dyDescent="0.25">
      <c r="A9">
        <v>4</v>
      </c>
      <c r="B9">
        <v>302571.8</v>
      </c>
      <c r="C9">
        <v>302897.40000000002</v>
      </c>
      <c r="D9">
        <v>1.1111999999999999E-3</v>
      </c>
      <c r="E9">
        <v>4</v>
      </c>
      <c r="F9">
        <v>302568.7</v>
      </c>
      <c r="G9">
        <v>302894.5</v>
      </c>
      <c r="H9">
        <v>1.1111999999999999E-3</v>
      </c>
      <c r="I9">
        <v>4</v>
      </c>
      <c r="J9">
        <v>302800</v>
      </c>
      <c r="K9">
        <v>303125.8</v>
      </c>
      <c r="L9">
        <v>1.1111999999999999E-3</v>
      </c>
      <c r="M9">
        <v>4</v>
      </c>
      <c r="N9">
        <v>302789.09999999998</v>
      </c>
      <c r="O9">
        <v>303114.7</v>
      </c>
      <c r="P9">
        <v>1.1111999999999999E-3</v>
      </c>
      <c r="R9">
        <v>334253.59999999998</v>
      </c>
      <c r="S9">
        <v>308793.8</v>
      </c>
      <c r="T9">
        <v>340520.18099999998</v>
      </c>
      <c r="U9">
        <v>317308.72099999996</v>
      </c>
    </row>
    <row r="10" spans="1:21" x14ac:dyDescent="0.25">
      <c r="A10">
        <v>5</v>
      </c>
      <c r="B10">
        <v>303630.5</v>
      </c>
      <c r="C10">
        <v>304258.40000000002</v>
      </c>
      <c r="D10">
        <v>1.389E-3</v>
      </c>
      <c r="E10">
        <v>5</v>
      </c>
      <c r="F10">
        <v>303628.3</v>
      </c>
      <c r="G10">
        <v>304256.3</v>
      </c>
      <c r="H10">
        <v>1.389E-3</v>
      </c>
      <c r="I10">
        <v>5</v>
      </c>
      <c r="J10">
        <v>303964.09999999998</v>
      </c>
      <c r="K10">
        <v>304591.7</v>
      </c>
      <c r="L10">
        <v>1.389E-3</v>
      </c>
      <c r="M10">
        <v>5</v>
      </c>
      <c r="N10">
        <v>303936.2</v>
      </c>
      <c r="O10">
        <v>304563.59999999998</v>
      </c>
      <c r="P10">
        <v>1.389E-3</v>
      </c>
      <c r="R10">
        <v>334899.59999999998</v>
      </c>
      <c r="S10">
        <v>304200.59999999998</v>
      </c>
      <c r="T10">
        <v>341681.43599999999</v>
      </c>
      <c r="U10">
        <v>317298.02999999997</v>
      </c>
    </row>
    <row r="11" spans="1:21" x14ac:dyDescent="0.25">
      <c r="A11">
        <v>6</v>
      </c>
      <c r="B11">
        <v>304456.2</v>
      </c>
      <c r="C11">
        <v>305351.8</v>
      </c>
      <c r="D11">
        <v>1.6668E-3</v>
      </c>
      <c r="E11">
        <v>6</v>
      </c>
      <c r="F11">
        <v>304455.40000000002</v>
      </c>
      <c r="G11">
        <v>305351</v>
      </c>
      <c r="H11">
        <v>1.6668E-3</v>
      </c>
      <c r="I11">
        <v>6</v>
      </c>
      <c r="J11">
        <v>304894</v>
      </c>
      <c r="K11">
        <v>305788.90000000002</v>
      </c>
      <c r="L11">
        <v>1.6668E-3</v>
      </c>
      <c r="M11">
        <v>6</v>
      </c>
      <c r="N11">
        <v>304838.7</v>
      </c>
      <c r="O11">
        <v>305733.40000000002</v>
      </c>
      <c r="P11">
        <v>1.6668E-3</v>
      </c>
      <c r="R11">
        <v>334210.7</v>
      </c>
      <c r="S11">
        <v>302164.90000000002</v>
      </c>
      <c r="T11">
        <v>341478.20199999999</v>
      </c>
      <c r="U11">
        <v>317449.11000000004</v>
      </c>
    </row>
    <row r="12" spans="1:21" x14ac:dyDescent="0.25">
      <c r="A12">
        <v>7</v>
      </c>
      <c r="B12">
        <v>305429.5</v>
      </c>
      <c r="C12">
        <v>306628.8</v>
      </c>
      <c r="D12">
        <v>1.9446000000000001E-3</v>
      </c>
      <c r="E12">
        <v>7</v>
      </c>
      <c r="F12">
        <v>305427.90000000002</v>
      </c>
      <c r="G12">
        <v>306627.20000000001</v>
      </c>
      <c r="H12">
        <v>1.9446000000000001E-3</v>
      </c>
      <c r="I12">
        <v>7</v>
      </c>
      <c r="J12">
        <v>305968.2</v>
      </c>
      <c r="K12">
        <v>307166.40000000002</v>
      </c>
      <c r="L12">
        <v>1.9446000000000001E-3</v>
      </c>
      <c r="M12">
        <v>7</v>
      </c>
      <c r="N12">
        <v>305895.90000000002</v>
      </c>
      <c r="O12">
        <v>307094</v>
      </c>
      <c r="P12">
        <v>1.9446000000000001E-3</v>
      </c>
      <c r="R12">
        <v>333196.7</v>
      </c>
      <c r="S12">
        <v>304123.09999999998</v>
      </c>
      <c r="T12">
        <v>340943.69400000002</v>
      </c>
      <c r="U12">
        <v>319382.70999999996</v>
      </c>
    </row>
    <row r="13" spans="1:21" x14ac:dyDescent="0.25">
      <c r="A13">
        <v>8</v>
      </c>
      <c r="B13">
        <v>307098.5</v>
      </c>
      <c r="C13">
        <v>308849.2</v>
      </c>
      <c r="D13">
        <v>2.2223999999999998E-3</v>
      </c>
      <c r="E13">
        <v>8</v>
      </c>
      <c r="F13">
        <v>307095.09999999998</v>
      </c>
      <c r="G13">
        <v>308845.90000000002</v>
      </c>
      <c r="H13">
        <v>2.2223999999999998E-3</v>
      </c>
      <c r="I13">
        <v>8</v>
      </c>
      <c r="J13">
        <v>307792.09999999998</v>
      </c>
      <c r="K13">
        <v>309540.8</v>
      </c>
      <c r="L13">
        <v>2.2223999999999998E-3</v>
      </c>
      <c r="M13">
        <v>8</v>
      </c>
      <c r="N13">
        <v>307698.5</v>
      </c>
      <c r="O13">
        <v>309447</v>
      </c>
      <c r="P13">
        <v>2.2223999999999998E-3</v>
      </c>
      <c r="R13">
        <v>332817.7</v>
      </c>
      <c r="S13">
        <v>305268.09999999998</v>
      </c>
      <c r="T13">
        <v>341683.98100000003</v>
      </c>
      <c r="U13">
        <v>320358.71999999997</v>
      </c>
    </row>
    <row r="14" spans="1:21" x14ac:dyDescent="0.25">
      <c r="A14">
        <v>9</v>
      </c>
      <c r="B14">
        <v>307621.5</v>
      </c>
      <c r="C14">
        <v>309656.09999999998</v>
      </c>
      <c r="D14">
        <v>2.5002000000000002E-3</v>
      </c>
      <c r="E14">
        <v>9</v>
      </c>
      <c r="F14">
        <v>307620.3</v>
      </c>
      <c r="G14">
        <v>309654.8</v>
      </c>
      <c r="H14">
        <v>2.5002000000000002E-3</v>
      </c>
      <c r="I14">
        <v>9</v>
      </c>
      <c r="J14">
        <v>308369.59999999998</v>
      </c>
      <c r="K14">
        <v>310401</v>
      </c>
      <c r="L14">
        <v>2.5002000000000002E-3</v>
      </c>
      <c r="M14">
        <v>9</v>
      </c>
      <c r="N14">
        <v>308278.5</v>
      </c>
      <c r="O14">
        <v>310310.2</v>
      </c>
      <c r="P14">
        <v>2.5002000000000002E-3</v>
      </c>
      <c r="R14">
        <v>332612.8</v>
      </c>
      <c r="S14">
        <v>306064.5</v>
      </c>
      <c r="T14">
        <v>343172.17</v>
      </c>
      <c r="U14">
        <v>321505.34999999998</v>
      </c>
    </row>
    <row r="15" spans="1:21" x14ac:dyDescent="0.25">
      <c r="A15">
        <v>10</v>
      </c>
      <c r="B15">
        <v>308597.09999999998</v>
      </c>
      <c r="C15">
        <v>310991.59999999998</v>
      </c>
      <c r="D15">
        <v>2.7780000000000001E-3</v>
      </c>
      <c r="E15">
        <v>10</v>
      </c>
      <c r="F15">
        <v>308596.3</v>
      </c>
      <c r="G15">
        <v>310990.8</v>
      </c>
      <c r="H15">
        <v>2.7780000000000001E-3</v>
      </c>
      <c r="I15">
        <v>10</v>
      </c>
      <c r="J15">
        <v>309440</v>
      </c>
      <c r="K15">
        <v>311830.40000000002</v>
      </c>
      <c r="L15">
        <v>2.7780000000000001E-3</v>
      </c>
      <c r="M15">
        <v>10</v>
      </c>
      <c r="N15">
        <v>309340.5</v>
      </c>
      <c r="O15">
        <v>311731.3</v>
      </c>
      <c r="P15">
        <v>2.7780000000000001E-3</v>
      </c>
      <c r="R15">
        <v>332297.59999999998</v>
      </c>
      <c r="S15">
        <v>307155.5</v>
      </c>
      <c r="T15">
        <v>344397.08999999997</v>
      </c>
      <c r="U15">
        <v>323677.25</v>
      </c>
    </row>
    <row r="16" spans="1:21" x14ac:dyDescent="0.25">
      <c r="A16">
        <v>11</v>
      </c>
      <c r="B16">
        <v>309610.59999999998</v>
      </c>
      <c r="C16">
        <v>312426.59999999998</v>
      </c>
      <c r="D16">
        <v>3.0558E-3</v>
      </c>
      <c r="E16">
        <v>11</v>
      </c>
      <c r="F16">
        <v>309610.40000000002</v>
      </c>
      <c r="G16">
        <v>312426.3</v>
      </c>
      <c r="H16">
        <v>3.0558E-3</v>
      </c>
      <c r="I16">
        <v>11</v>
      </c>
      <c r="J16">
        <v>310546.3</v>
      </c>
      <c r="K16">
        <v>313356.79999999999</v>
      </c>
      <c r="L16">
        <v>3.0558E-3</v>
      </c>
      <c r="M16">
        <v>11</v>
      </c>
      <c r="N16">
        <v>310441.90000000002</v>
      </c>
      <c r="O16">
        <v>313252.8</v>
      </c>
      <c r="P16">
        <v>3.0558E-3</v>
      </c>
      <c r="R16">
        <v>331994.2</v>
      </c>
      <c r="S16">
        <v>307459.20000000001</v>
      </c>
      <c r="T16">
        <v>345127.96</v>
      </c>
      <c r="U16">
        <v>325466.16000000003</v>
      </c>
    </row>
    <row r="17" spans="1:21" x14ac:dyDescent="0.25">
      <c r="A17">
        <v>12</v>
      </c>
      <c r="B17">
        <v>310467.8</v>
      </c>
      <c r="C17">
        <v>313675.59999999998</v>
      </c>
      <c r="D17">
        <v>3.3335999999999999E-3</v>
      </c>
      <c r="E17">
        <v>12</v>
      </c>
      <c r="F17">
        <v>310468.09999999998</v>
      </c>
      <c r="G17">
        <v>313675.90000000002</v>
      </c>
      <c r="H17">
        <v>3.3335999999999999E-3</v>
      </c>
      <c r="I17">
        <v>12</v>
      </c>
      <c r="J17">
        <v>311481.2</v>
      </c>
      <c r="K17">
        <v>314682.2</v>
      </c>
      <c r="L17">
        <v>3.3335999999999999E-3</v>
      </c>
      <c r="M17">
        <v>12</v>
      </c>
      <c r="N17">
        <v>311376.59999999998</v>
      </c>
      <c r="O17">
        <v>314578.2</v>
      </c>
      <c r="P17">
        <v>3.3335999999999999E-3</v>
      </c>
      <c r="R17">
        <v>331568.2</v>
      </c>
      <c r="S17">
        <v>306657</v>
      </c>
      <c r="T17">
        <v>345702.32</v>
      </c>
      <c r="U17">
        <v>325928.82</v>
      </c>
    </row>
    <row r="18" spans="1:21" x14ac:dyDescent="0.25">
      <c r="A18">
        <v>13</v>
      </c>
      <c r="B18">
        <v>311007.8</v>
      </c>
      <c r="C18">
        <v>314486.5</v>
      </c>
      <c r="D18">
        <v>3.6113999999999999E-3</v>
      </c>
      <c r="E18">
        <v>13</v>
      </c>
      <c r="F18">
        <v>311008.40000000002</v>
      </c>
      <c r="G18">
        <v>314486.90000000002</v>
      </c>
      <c r="H18">
        <v>3.6113999999999999E-3</v>
      </c>
      <c r="I18">
        <v>13</v>
      </c>
      <c r="J18">
        <v>312071.2</v>
      </c>
      <c r="K18">
        <v>315541.90000000002</v>
      </c>
      <c r="L18">
        <v>3.6113999999999999E-3</v>
      </c>
      <c r="M18">
        <v>13</v>
      </c>
      <c r="N18">
        <v>311970.7</v>
      </c>
      <c r="O18">
        <v>315442.2</v>
      </c>
      <c r="P18">
        <v>3.6113999999999999E-3</v>
      </c>
      <c r="R18">
        <v>331283.8</v>
      </c>
      <c r="S18">
        <v>304735.5</v>
      </c>
      <c r="T18">
        <v>346381.05</v>
      </c>
      <c r="U18">
        <v>325335.49</v>
      </c>
    </row>
    <row r="19" spans="1:21" x14ac:dyDescent="0.25">
      <c r="A19">
        <v>14</v>
      </c>
      <c r="B19">
        <v>311535.2</v>
      </c>
      <c r="C19">
        <v>315257.09999999998</v>
      </c>
      <c r="D19">
        <v>3.8892000000000002E-3</v>
      </c>
      <c r="E19">
        <v>14</v>
      </c>
      <c r="F19">
        <v>311535</v>
      </c>
      <c r="G19">
        <v>315256.7</v>
      </c>
      <c r="H19">
        <v>3.8892000000000002E-3</v>
      </c>
      <c r="I19">
        <v>14</v>
      </c>
      <c r="J19">
        <v>312644.2</v>
      </c>
      <c r="K19">
        <v>316357.2</v>
      </c>
      <c r="L19">
        <v>3.8892000000000002E-3</v>
      </c>
      <c r="M19">
        <v>14</v>
      </c>
      <c r="N19">
        <v>312546.8</v>
      </c>
      <c r="O19">
        <v>316260.7</v>
      </c>
      <c r="P19">
        <v>3.8892000000000002E-3</v>
      </c>
      <c r="R19">
        <v>331510.5</v>
      </c>
      <c r="S19">
        <v>303802.40000000002</v>
      </c>
      <c r="T19">
        <v>347151.1</v>
      </c>
      <c r="U19">
        <v>325410.27</v>
      </c>
    </row>
    <row r="20" spans="1:21" x14ac:dyDescent="0.25">
      <c r="A20">
        <v>15</v>
      </c>
      <c r="B20">
        <v>312045.5</v>
      </c>
      <c r="C20">
        <v>316005.2</v>
      </c>
      <c r="D20">
        <v>4.1669999999999997E-3</v>
      </c>
      <c r="E20">
        <v>15</v>
      </c>
      <c r="F20">
        <v>312044.90000000002</v>
      </c>
      <c r="G20">
        <v>316004.5</v>
      </c>
      <c r="H20">
        <v>4.1669999999999997E-3</v>
      </c>
      <c r="I20">
        <v>15</v>
      </c>
      <c r="J20">
        <v>313196.09999999998</v>
      </c>
      <c r="K20">
        <v>317145.90000000002</v>
      </c>
      <c r="L20">
        <v>4.1669999999999997E-3</v>
      </c>
      <c r="M20">
        <v>15</v>
      </c>
      <c r="N20">
        <v>313102.8</v>
      </c>
      <c r="O20">
        <v>317053.5</v>
      </c>
      <c r="P20">
        <v>4.1669999999999997E-3</v>
      </c>
      <c r="R20">
        <v>332017.7</v>
      </c>
      <c r="S20">
        <v>305646.2</v>
      </c>
      <c r="T20">
        <v>347484.23000000004</v>
      </c>
      <c r="U20">
        <v>327091.29000000004</v>
      </c>
    </row>
    <row r="21" spans="1:21" x14ac:dyDescent="0.25">
      <c r="A21">
        <v>16</v>
      </c>
      <c r="B21">
        <v>312366.2</v>
      </c>
      <c r="C21">
        <v>316491</v>
      </c>
      <c r="D21">
        <v>4.4447999999999996E-3</v>
      </c>
      <c r="E21">
        <v>16</v>
      </c>
      <c r="F21">
        <v>312366.2</v>
      </c>
      <c r="G21">
        <v>316490.8</v>
      </c>
      <c r="H21">
        <v>4.4447999999999996E-3</v>
      </c>
      <c r="I21">
        <v>16</v>
      </c>
      <c r="J21">
        <v>313542.8</v>
      </c>
      <c r="K21">
        <v>317656.90000000002</v>
      </c>
      <c r="L21">
        <v>4.4447999999999996E-3</v>
      </c>
      <c r="M21">
        <v>16</v>
      </c>
      <c r="N21">
        <v>313455.5</v>
      </c>
      <c r="O21">
        <v>317570.7</v>
      </c>
      <c r="P21">
        <v>4.4447999999999996E-3</v>
      </c>
      <c r="R21">
        <v>333089.40000000002</v>
      </c>
      <c r="S21">
        <v>308532.09999999998</v>
      </c>
      <c r="T21">
        <v>347910.5</v>
      </c>
      <c r="U21">
        <v>328828.77999999997</v>
      </c>
    </row>
    <row r="22" spans="1:21" x14ac:dyDescent="0.25">
      <c r="A22">
        <v>17</v>
      </c>
      <c r="B22">
        <v>312273.09999999998</v>
      </c>
      <c r="C22">
        <v>316382.40000000002</v>
      </c>
      <c r="D22">
        <v>4.7226000000000004E-3</v>
      </c>
      <c r="E22">
        <v>17</v>
      </c>
      <c r="F22">
        <v>312274</v>
      </c>
      <c r="G22">
        <v>316383.09999999998</v>
      </c>
      <c r="H22">
        <v>4.7226000000000004E-3</v>
      </c>
      <c r="I22">
        <v>17</v>
      </c>
      <c r="J22">
        <v>313443.8</v>
      </c>
      <c r="K22">
        <v>317542.3</v>
      </c>
      <c r="L22">
        <v>4.7226000000000004E-3</v>
      </c>
      <c r="M22">
        <v>17</v>
      </c>
      <c r="N22">
        <v>313365.40000000002</v>
      </c>
      <c r="O22">
        <v>317465.09999999998</v>
      </c>
      <c r="P22">
        <v>4.7226000000000004E-3</v>
      </c>
      <c r="R22">
        <v>335324.09999999998</v>
      </c>
      <c r="S22">
        <v>310488.40000000002</v>
      </c>
      <c r="T22">
        <v>348815.20999999996</v>
      </c>
      <c r="U22">
        <v>329244.97000000003</v>
      </c>
    </row>
    <row r="23" spans="1:21" x14ac:dyDescent="0.25">
      <c r="A23">
        <v>18</v>
      </c>
      <c r="B23">
        <v>311906.40000000002</v>
      </c>
      <c r="C23">
        <v>315854.8</v>
      </c>
      <c r="D23">
        <v>5.0004000000000003E-3</v>
      </c>
      <c r="E23">
        <v>18</v>
      </c>
      <c r="F23">
        <v>311907</v>
      </c>
      <c r="G23">
        <v>315854.90000000002</v>
      </c>
      <c r="H23">
        <v>5.0004000000000003E-3</v>
      </c>
      <c r="I23">
        <v>18</v>
      </c>
      <c r="J23">
        <v>313049</v>
      </c>
      <c r="K23">
        <v>316987.2</v>
      </c>
      <c r="L23">
        <v>5.0004000000000003E-3</v>
      </c>
      <c r="M23">
        <v>18</v>
      </c>
      <c r="N23">
        <v>312978.40000000002</v>
      </c>
      <c r="O23">
        <v>316917.7</v>
      </c>
      <c r="P23">
        <v>5.0004000000000003E-3</v>
      </c>
      <c r="R23">
        <v>337906.9</v>
      </c>
      <c r="S23">
        <v>310563.09999999998</v>
      </c>
      <c r="T23">
        <v>349788.23000000004</v>
      </c>
      <c r="U23">
        <v>327949.90999999997</v>
      </c>
    </row>
    <row r="24" spans="1:21" x14ac:dyDescent="0.25">
      <c r="A24">
        <v>19</v>
      </c>
      <c r="B24">
        <v>310940.59999999998</v>
      </c>
      <c r="C24">
        <v>314472.59999999998</v>
      </c>
      <c r="D24">
        <v>5.2782000000000003E-3</v>
      </c>
      <c r="E24">
        <v>19</v>
      </c>
      <c r="F24">
        <v>310940.09999999998</v>
      </c>
      <c r="G24">
        <v>314471.59999999998</v>
      </c>
      <c r="H24">
        <v>5.2782000000000003E-3</v>
      </c>
      <c r="I24">
        <v>19</v>
      </c>
      <c r="J24">
        <v>312010</v>
      </c>
      <c r="K24">
        <v>315533.2</v>
      </c>
      <c r="L24">
        <v>5.2782000000000003E-3</v>
      </c>
      <c r="M24">
        <v>19</v>
      </c>
      <c r="N24">
        <v>311948.3</v>
      </c>
      <c r="O24">
        <v>315472.8</v>
      </c>
      <c r="P24">
        <v>5.2782000000000003E-3</v>
      </c>
      <c r="R24">
        <v>339309.1</v>
      </c>
      <c r="S24">
        <v>308902.2</v>
      </c>
      <c r="T24">
        <v>349519.93</v>
      </c>
      <c r="U24">
        <v>325540.17000000004</v>
      </c>
    </row>
    <row r="25" spans="1:21" x14ac:dyDescent="0.25">
      <c r="A25">
        <v>20</v>
      </c>
      <c r="B25">
        <v>309646.3</v>
      </c>
      <c r="C25">
        <v>312606.40000000002</v>
      </c>
      <c r="D25">
        <v>5.5560000000000002E-3</v>
      </c>
      <c r="E25">
        <v>20</v>
      </c>
      <c r="F25">
        <v>309644.09999999998</v>
      </c>
      <c r="G25">
        <v>312603.8</v>
      </c>
      <c r="H25">
        <v>5.5560000000000002E-3</v>
      </c>
      <c r="I25">
        <v>20</v>
      </c>
      <c r="J25">
        <v>310614.5</v>
      </c>
      <c r="K25">
        <v>313567.8</v>
      </c>
      <c r="L25">
        <v>5.5560000000000002E-3</v>
      </c>
      <c r="M25">
        <v>20</v>
      </c>
      <c r="N25">
        <v>310559.40000000002</v>
      </c>
      <c r="O25">
        <v>313513.90000000002</v>
      </c>
      <c r="P25">
        <v>5.5560000000000002E-3</v>
      </c>
      <c r="R25">
        <v>338606.2</v>
      </c>
      <c r="S25">
        <v>305995.5</v>
      </c>
      <c r="T25">
        <v>347394.15899999999</v>
      </c>
      <c r="U25">
        <v>322726.27</v>
      </c>
    </row>
    <row r="26" spans="1:21" x14ac:dyDescent="0.25">
      <c r="A26">
        <v>21</v>
      </c>
      <c r="B26">
        <v>308207.5</v>
      </c>
      <c r="C26">
        <v>310545.09999999998</v>
      </c>
      <c r="D26">
        <v>5.8338000000000001E-3</v>
      </c>
      <c r="E26">
        <v>21</v>
      </c>
      <c r="F26">
        <v>308204.09999999998</v>
      </c>
      <c r="G26">
        <v>310541.09999999998</v>
      </c>
      <c r="H26">
        <v>5.8338000000000001E-3</v>
      </c>
      <c r="I26">
        <v>21</v>
      </c>
      <c r="J26">
        <v>309059.8</v>
      </c>
      <c r="K26">
        <v>311392.40000000002</v>
      </c>
      <c r="L26">
        <v>5.8338000000000001E-3</v>
      </c>
      <c r="M26">
        <v>21</v>
      </c>
      <c r="N26">
        <v>309009.09999999998</v>
      </c>
      <c r="O26">
        <v>311342.8</v>
      </c>
      <c r="P26">
        <v>5.8338000000000001E-3</v>
      </c>
      <c r="R26">
        <v>336574.6</v>
      </c>
      <c r="S26">
        <v>303036</v>
      </c>
      <c r="T26">
        <v>344023.109</v>
      </c>
      <c r="U26">
        <v>319996.56</v>
      </c>
    </row>
    <row r="27" spans="1:21" x14ac:dyDescent="0.25">
      <c r="A27">
        <v>22</v>
      </c>
      <c r="B27">
        <v>306761</v>
      </c>
      <c r="C27">
        <v>308500.09999999998</v>
      </c>
      <c r="D27">
        <v>6.1116E-3</v>
      </c>
      <c r="E27">
        <v>22</v>
      </c>
      <c r="F27">
        <v>306757.3</v>
      </c>
      <c r="G27">
        <v>308495.90000000002</v>
      </c>
      <c r="H27">
        <v>6.1116E-3</v>
      </c>
      <c r="I27">
        <v>22</v>
      </c>
      <c r="J27">
        <v>307494.2</v>
      </c>
      <c r="K27">
        <v>309230</v>
      </c>
      <c r="L27">
        <v>6.1116E-3</v>
      </c>
      <c r="M27">
        <v>22</v>
      </c>
      <c r="N27">
        <v>307446.3</v>
      </c>
      <c r="O27">
        <v>309183.2</v>
      </c>
      <c r="P27">
        <v>6.1116E-3</v>
      </c>
      <c r="R27">
        <v>332812.3</v>
      </c>
      <c r="S27">
        <v>301861.09999999998</v>
      </c>
      <c r="T27">
        <v>339461.76199999999</v>
      </c>
      <c r="U27">
        <v>317469.37</v>
      </c>
    </row>
    <row r="28" spans="1:21" x14ac:dyDescent="0.25">
      <c r="A28">
        <v>23</v>
      </c>
      <c r="B28">
        <v>305408.7</v>
      </c>
      <c r="C28">
        <v>306620.40000000002</v>
      </c>
      <c r="D28">
        <v>6.3893999999999999E-3</v>
      </c>
      <c r="E28">
        <v>23</v>
      </c>
      <c r="F28">
        <v>305405.8</v>
      </c>
      <c r="G28">
        <v>306616.90000000002</v>
      </c>
      <c r="H28">
        <v>6.3893999999999999E-3</v>
      </c>
      <c r="I28">
        <v>23</v>
      </c>
      <c r="J28">
        <v>306031.2</v>
      </c>
      <c r="K28">
        <v>307240.8</v>
      </c>
      <c r="L28">
        <v>6.3893999999999999E-3</v>
      </c>
      <c r="M28">
        <v>23</v>
      </c>
      <c r="N28">
        <v>305983.8</v>
      </c>
      <c r="O28">
        <v>307194.2</v>
      </c>
      <c r="P28">
        <v>6.3893999999999999E-3</v>
      </c>
      <c r="R28">
        <v>328401.8</v>
      </c>
      <c r="S28">
        <v>302605</v>
      </c>
      <c r="T28">
        <v>334302.93199999997</v>
      </c>
      <c r="U28">
        <v>314937.32</v>
      </c>
    </row>
    <row r="29" spans="1:21" x14ac:dyDescent="0.25">
      <c r="A29">
        <v>24</v>
      </c>
      <c r="B29">
        <v>304389.90000000002</v>
      </c>
      <c r="C29">
        <v>305209.09999999998</v>
      </c>
      <c r="D29">
        <v>6.6671999999999999E-3</v>
      </c>
      <c r="E29">
        <v>24</v>
      </c>
      <c r="F29">
        <v>304388.09999999998</v>
      </c>
      <c r="G29">
        <v>305206.7</v>
      </c>
      <c r="H29">
        <v>6.6671999999999999E-3</v>
      </c>
      <c r="I29">
        <v>24</v>
      </c>
      <c r="J29">
        <v>304930.5</v>
      </c>
      <c r="K29">
        <v>305748.3</v>
      </c>
      <c r="L29">
        <v>6.6671999999999999E-3</v>
      </c>
      <c r="M29">
        <v>24</v>
      </c>
      <c r="N29">
        <v>304881.3</v>
      </c>
      <c r="O29">
        <v>305699.8</v>
      </c>
      <c r="P29">
        <v>6.6671999999999999E-3</v>
      </c>
      <c r="R29">
        <v>323781.8</v>
      </c>
      <c r="S29">
        <v>301798.09999999998</v>
      </c>
      <c r="T29">
        <v>328569.15599999996</v>
      </c>
      <c r="U29">
        <v>310615.65899999999</v>
      </c>
    </row>
    <row r="30" spans="1:21" x14ac:dyDescent="0.25">
      <c r="A30">
        <v>25</v>
      </c>
      <c r="B30">
        <v>303284.59999999998</v>
      </c>
      <c r="C30">
        <v>303751</v>
      </c>
      <c r="D30">
        <v>6.9449999999999998E-3</v>
      </c>
      <c r="E30">
        <v>25</v>
      </c>
      <c r="F30">
        <v>303284.2</v>
      </c>
      <c r="G30">
        <v>303750.09999999998</v>
      </c>
      <c r="H30">
        <v>6.9449999999999998E-3</v>
      </c>
      <c r="I30">
        <v>25</v>
      </c>
      <c r="J30">
        <v>303747.40000000002</v>
      </c>
      <c r="K30">
        <v>304212.8</v>
      </c>
      <c r="L30">
        <v>6.9449999999999998E-3</v>
      </c>
      <c r="M30">
        <v>25</v>
      </c>
      <c r="N30">
        <v>303688.5</v>
      </c>
      <c r="O30">
        <v>304154.59999999998</v>
      </c>
      <c r="P30">
        <v>6.9449999999999998E-3</v>
      </c>
      <c r="R30">
        <v>318586.7</v>
      </c>
      <c r="S30">
        <v>297564.59999999998</v>
      </c>
      <c r="T30">
        <v>321809.78899999999</v>
      </c>
      <c r="U30">
        <v>304021.68699999998</v>
      </c>
    </row>
    <row r="31" spans="1:21" x14ac:dyDescent="0.25">
      <c r="A31">
        <v>26</v>
      </c>
      <c r="B31">
        <v>302241.2</v>
      </c>
      <c r="C31">
        <v>302433.09999999998</v>
      </c>
      <c r="D31">
        <v>7.2227999999999997E-3</v>
      </c>
      <c r="E31">
        <v>26</v>
      </c>
      <c r="F31">
        <v>302242.09999999998</v>
      </c>
      <c r="G31">
        <v>302433.40000000002</v>
      </c>
      <c r="H31">
        <v>7.2227999999999997E-3</v>
      </c>
      <c r="I31">
        <v>26</v>
      </c>
      <c r="J31">
        <v>302614.90000000002</v>
      </c>
      <c r="K31">
        <v>302806.40000000002</v>
      </c>
      <c r="L31">
        <v>7.2227999999999997E-3</v>
      </c>
      <c r="M31">
        <v>26</v>
      </c>
      <c r="N31">
        <v>302557.09999999998</v>
      </c>
      <c r="O31">
        <v>302749</v>
      </c>
      <c r="P31">
        <v>7.2227999999999997E-3</v>
      </c>
      <c r="R31">
        <v>318137.40000000002</v>
      </c>
      <c r="S31">
        <v>293354.3</v>
      </c>
      <c r="T31">
        <v>320074.11500000005</v>
      </c>
      <c r="U31">
        <v>297730.01899999997</v>
      </c>
    </row>
    <row r="32" spans="1:21" x14ac:dyDescent="0.25">
      <c r="A32">
        <v>27</v>
      </c>
      <c r="B32">
        <v>301305.8</v>
      </c>
      <c r="C32">
        <v>301360.3</v>
      </c>
      <c r="D32">
        <v>7.5005999999999996E-3</v>
      </c>
      <c r="E32">
        <v>27</v>
      </c>
      <c r="F32">
        <v>301306</v>
      </c>
      <c r="G32">
        <v>301360.09999999998</v>
      </c>
      <c r="H32">
        <v>7.5005999999999996E-3</v>
      </c>
      <c r="I32">
        <v>27</v>
      </c>
      <c r="J32">
        <v>301567.90000000002</v>
      </c>
      <c r="K32">
        <v>301622</v>
      </c>
      <c r="L32">
        <v>7.5005999999999996E-3</v>
      </c>
      <c r="M32">
        <v>27</v>
      </c>
      <c r="N32">
        <v>301516.90000000002</v>
      </c>
      <c r="O32">
        <v>301571.5</v>
      </c>
      <c r="P32">
        <v>7.5005999999999996E-3</v>
      </c>
      <c r="R32">
        <v>320174</v>
      </c>
      <c r="S32">
        <v>291526</v>
      </c>
      <c r="T32">
        <v>321537.94699999999</v>
      </c>
      <c r="U32">
        <v>294578.16499999998</v>
      </c>
    </row>
    <row r="33" spans="1:21" x14ac:dyDescent="0.25">
      <c r="A33">
        <v>28</v>
      </c>
      <c r="B33">
        <v>301026.3</v>
      </c>
      <c r="C33">
        <v>301043.59999999998</v>
      </c>
      <c r="D33">
        <v>7.7784000000000004E-3</v>
      </c>
      <c r="E33">
        <v>28</v>
      </c>
      <c r="F33">
        <v>301023.8</v>
      </c>
      <c r="G33">
        <v>301040.90000000002</v>
      </c>
      <c r="H33">
        <v>7.7784000000000004E-3</v>
      </c>
      <c r="I33">
        <v>28</v>
      </c>
      <c r="J33">
        <v>301236.2</v>
      </c>
      <c r="K33">
        <v>301253.09999999998</v>
      </c>
      <c r="L33">
        <v>7.7784000000000004E-3</v>
      </c>
      <c r="M33">
        <v>28</v>
      </c>
      <c r="N33">
        <v>301185.8</v>
      </c>
      <c r="O33">
        <v>301203</v>
      </c>
      <c r="P33">
        <v>7.7784000000000004E-3</v>
      </c>
      <c r="R33">
        <v>321377</v>
      </c>
      <c r="S33">
        <v>292906</v>
      </c>
      <c r="T33">
        <v>322394.95</v>
      </c>
      <c r="U33">
        <v>295739</v>
      </c>
    </row>
    <row r="34" spans="1:21" x14ac:dyDescent="0.25">
      <c r="A34">
        <v>29</v>
      </c>
      <c r="B34">
        <v>301210.2</v>
      </c>
      <c r="C34">
        <v>301212.90000000002</v>
      </c>
      <c r="D34">
        <v>8.0561999999999995E-3</v>
      </c>
      <c r="E34">
        <v>29</v>
      </c>
      <c r="F34">
        <v>301203.59999999998</v>
      </c>
      <c r="G34">
        <v>301206.09999999998</v>
      </c>
      <c r="H34">
        <v>8.0561999999999995E-3</v>
      </c>
      <c r="I34">
        <v>29</v>
      </c>
      <c r="J34">
        <v>301398.8</v>
      </c>
      <c r="K34">
        <v>301401.3</v>
      </c>
      <c r="L34">
        <v>8.0561999999999995E-3</v>
      </c>
      <c r="M34">
        <v>29</v>
      </c>
      <c r="N34">
        <v>301350.3</v>
      </c>
      <c r="O34">
        <v>301352.8</v>
      </c>
      <c r="P34">
        <v>8.0561999999999995E-3</v>
      </c>
      <c r="R34">
        <v>322888.8</v>
      </c>
      <c r="S34">
        <v>296884.3</v>
      </c>
      <c r="T34">
        <v>323714.46519999998</v>
      </c>
      <c r="U34">
        <v>299611.26</v>
      </c>
    </row>
    <row r="35" spans="1:21" x14ac:dyDescent="0.25">
      <c r="A35">
        <v>30</v>
      </c>
      <c r="B35">
        <v>301288.3</v>
      </c>
      <c r="C35">
        <v>301289.7</v>
      </c>
      <c r="D35">
        <v>8.3339999999999994E-3</v>
      </c>
      <c r="E35">
        <v>30</v>
      </c>
      <c r="F35">
        <v>301276.59999999998</v>
      </c>
      <c r="G35">
        <v>301277.7</v>
      </c>
      <c r="H35">
        <v>8.3339999999999994E-3</v>
      </c>
      <c r="I35">
        <v>30</v>
      </c>
      <c r="J35">
        <v>301434.09999999998</v>
      </c>
      <c r="K35">
        <v>301435.3</v>
      </c>
      <c r="L35">
        <v>8.3339999999999994E-3</v>
      </c>
      <c r="M35">
        <v>30</v>
      </c>
      <c r="N35">
        <v>301385.59999999998</v>
      </c>
      <c r="O35">
        <v>301386.8</v>
      </c>
      <c r="P35">
        <v>8.3339999999999994E-3</v>
      </c>
      <c r="R35">
        <v>324713</v>
      </c>
      <c r="S35">
        <v>299871.8</v>
      </c>
      <c r="T35">
        <v>325375.93400000001</v>
      </c>
      <c r="U35">
        <v>301985.79599999997</v>
      </c>
    </row>
    <row r="36" spans="1:21" x14ac:dyDescent="0.25">
      <c r="A36">
        <v>31</v>
      </c>
      <c r="B36">
        <v>301369.59999999998</v>
      </c>
      <c r="C36">
        <v>301370.8</v>
      </c>
      <c r="D36">
        <v>8.6117999999999993E-3</v>
      </c>
      <c r="E36">
        <v>31</v>
      </c>
      <c r="F36">
        <v>301351.40000000002</v>
      </c>
      <c r="G36">
        <v>301352.2</v>
      </c>
      <c r="H36">
        <v>8.6117999999999993E-3</v>
      </c>
      <c r="I36">
        <v>31</v>
      </c>
      <c r="J36">
        <v>301471.8</v>
      </c>
      <c r="K36">
        <v>301472.8</v>
      </c>
      <c r="L36">
        <v>8.6117999999999993E-3</v>
      </c>
      <c r="M36">
        <v>31</v>
      </c>
      <c r="N36">
        <v>301419.5</v>
      </c>
      <c r="O36">
        <v>301420.3</v>
      </c>
      <c r="P36">
        <v>8.6117999999999993E-3</v>
      </c>
      <c r="R36">
        <v>326797.3</v>
      </c>
      <c r="S36">
        <v>301000.2</v>
      </c>
      <c r="T36">
        <v>327257.74969999999</v>
      </c>
      <c r="U36">
        <v>302604.79000000004</v>
      </c>
    </row>
    <row r="37" spans="1:21" x14ac:dyDescent="0.25">
      <c r="A37">
        <v>32</v>
      </c>
      <c r="B37">
        <v>301449.7</v>
      </c>
      <c r="C37">
        <v>301450.8</v>
      </c>
      <c r="D37">
        <v>8.8895999999999992E-3</v>
      </c>
      <c r="E37">
        <v>32</v>
      </c>
      <c r="F37">
        <v>301423.09999999998</v>
      </c>
      <c r="G37">
        <v>301423.8</v>
      </c>
      <c r="H37">
        <v>8.8895999999999992E-3</v>
      </c>
      <c r="I37">
        <v>32</v>
      </c>
      <c r="J37">
        <v>301510.09999999998</v>
      </c>
      <c r="K37">
        <v>301510.7</v>
      </c>
      <c r="L37">
        <v>8.8895999999999992E-3</v>
      </c>
      <c r="M37">
        <v>32</v>
      </c>
      <c r="N37">
        <v>301448.40000000002</v>
      </c>
      <c r="O37">
        <v>301449</v>
      </c>
      <c r="P37">
        <v>8.8895999999999992E-3</v>
      </c>
      <c r="R37">
        <v>328250.7</v>
      </c>
      <c r="S37">
        <v>301478.40000000002</v>
      </c>
      <c r="T37">
        <v>328508.68590000004</v>
      </c>
      <c r="U37">
        <v>302796.03500000003</v>
      </c>
    </row>
    <row r="38" spans="1:21" x14ac:dyDescent="0.25">
      <c r="A38">
        <v>33</v>
      </c>
      <c r="B38">
        <v>301524.5</v>
      </c>
      <c r="C38">
        <v>301525.7</v>
      </c>
      <c r="D38">
        <v>9.1673989999999997E-3</v>
      </c>
      <c r="E38">
        <v>33</v>
      </c>
      <c r="F38">
        <v>301487.59999999998</v>
      </c>
      <c r="G38">
        <v>301488.3</v>
      </c>
      <c r="H38">
        <v>9.1673989999999997E-3</v>
      </c>
      <c r="I38">
        <v>33</v>
      </c>
      <c r="J38">
        <v>301540.90000000002</v>
      </c>
      <c r="K38">
        <v>301541.3</v>
      </c>
      <c r="L38">
        <v>9.1673989999999997E-3</v>
      </c>
      <c r="M38">
        <v>33</v>
      </c>
      <c r="N38">
        <v>301466.8</v>
      </c>
      <c r="O38">
        <v>301467.2</v>
      </c>
      <c r="P38">
        <v>9.1673989999999997E-3</v>
      </c>
      <c r="R38">
        <v>328562.3</v>
      </c>
      <c r="S38">
        <v>301835</v>
      </c>
      <c r="T38">
        <v>328718.14649999997</v>
      </c>
      <c r="U38">
        <v>302953.255</v>
      </c>
    </row>
    <row r="39" spans="1:21" x14ac:dyDescent="0.25">
      <c r="A39">
        <v>34</v>
      </c>
      <c r="B39">
        <v>301591.3</v>
      </c>
      <c r="C39">
        <v>301592.59999999998</v>
      </c>
      <c r="D39">
        <v>9.4452000000000008E-3</v>
      </c>
      <c r="E39">
        <v>34</v>
      </c>
      <c r="F39">
        <v>301541.59999999998</v>
      </c>
      <c r="G39">
        <v>301542.40000000002</v>
      </c>
      <c r="H39">
        <v>9.4452000000000008E-3</v>
      </c>
      <c r="I39">
        <v>34</v>
      </c>
      <c r="J39">
        <v>301559.3</v>
      </c>
      <c r="K39">
        <v>301559.90000000002</v>
      </c>
      <c r="L39">
        <v>9.4452000000000008E-3</v>
      </c>
      <c r="M39">
        <v>34</v>
      </c>
      <c r="N39">
        <v>301471.2</v>
      </c>
      <c r="O39">
        <v>301471.8</v>
      </c>
      <c r="P39">
        <v>9.4452000000000008E-3</v>
      </c>
      <c r="R39">
        <v>327952.09999999998</v>
      </c>
      <c r="S39">
        <v>302061.09999999998</v>
      </c>
      <c r="T39">
        <v>328101.24349999998</v>
      </c>
      <c r="U39">
        <v>303041.43839999998</v>
      </c>
    </row>
    <row r="40" spans="1:21" x14ac:dyDescent="0.25">
      <c r="A40">
        <v>35</v>
      </c>
      <c r="B40">
        <v>301649.59999999998</v>
      </c>
      <c r="C40">
        <v>301650.8</v>
      </c>
      <c r="D40">
        <v>9.7229989999999995E-3</v>
      </c>
      <c r="E40">
        <v>35</v>
      </c>
      <c r="F40">
        <v>301584.90000000002</v>
      </c>
      <c r="G40">
        <v>301585.7</v>
      </c>
      <c r="H40">
        <v>9.7229989999999995E-3</v>
      </c>
      <c r="I40">
        <v>35</v>
      </c>
      <c r="J40">
        <v>301565.40000000002</v>
      </c>
      <c r="K40">
        <v>301566.40000000002</v>
      </c>
      <c r="L40">
        <v>9.7229989999999995E-3</v>
      </c>
      <c r="M40">
        <v>35</v>
      </c>
      <c r="N40">
        <v>301462.2</v>
      </c>
      <c r="O40">
        <v>301463.2</v>
      </c>
      <c r="P40">
        <v>9.7229989999999995E-3</v>
      </c>
      <c r="R40">
        <v>326796.5</v>
      </c>
      <c r="S40">
        <v>301953.7</v>
      </c>
      <c r="T40">
        <v>326952.18310000002</v>
      </c>
      <c r="U40">
        <v>302867.57760000002</v>
      </c>
    </row>
    <row r="41" spans="1:21" x14ac:dyDescent="0.25">
      <c r="A41">
        <v>36</v>
      </c>
      <c r="B41">
        <v>301698.7</v>
      </c>
      <c r="C41">
        <v>301699.8</v>
      </c>
      <c r="D41">
        <v>1.0000800000000001E-2</v>
      </c>
      <c r="E41">
        <v>36</v>
      </c>
      <c r="F41">
        <v>301617.8</v>
      </c>
      <c r="G41">
        <v>301618.59999999998</v>
      </c>
      <c r="H41">
        <v>1.0000800000000001E-2</v>
      </c>
      <c r="I41">
        <v>36</v>
      </c>
      <c r="J41">
        <v>301561.8</v>
      </c>
      <c r="K41">
        <v>301563.3</v>
      </c>
      <c r="L41">
        <v>1.0000800000000001E-2</v>
      </c>
      <c r="M41">
        <v>36</v>
      </c>
      <c r="N41">
        <v>301441.90000000002</v>
      </c>
      <c r="O41">
        <v>301443.5</v>
      </c>
      <c r="P41">
        <v>1.0000800000000001E-2</v>
      </c>
      <c r="R41">
        <v>325592.8</v>
      </c>
      <c r="S41">
        <v>301405.2</v>
      </c>
      <c r="T41">
        <v>325734.42849999998</v>
      </c>
      <c r="U41">
        <v>302257.4572</v>
      </c>
    </row>
    <row r="42" spans="1:21" x14ac:dyDescent="0.25">
      <c r="A42">
        <v>37</v>
      </c>
      <c r="B42">
        <v>301738</v>
      </c>
      <c r="C42">
        <v>301739.2</v>
      </c>
      <c r="D42">
        <v>1.0278600000000001E-2</v>
      </c>
      <c r="E42">
        <v>37</v>
      </c>
      <c r="F42">
        <v>301640.3</v>
      </c>
      <c r="G42">
        <v>301641.2</v>
      </c>
      <c r="H42">
        <v>1.0278600000000001E-2</v>
      </c>
      <c r="I42">
        <v>37</v>
      </c>
      <c r="J42">
        <v>301551.7</v>
      </c>
      <c r="K42">
        <v>301553.90000000002</v>
      </c>
      <c r="L42">
        <v>1.0278600000000001E-2</v>
      </c>
      <c r="M42">
        <v>37</v>
      </c>
      <c r="N42">
        <v>301412.5</v>
      </c>
      <c r="O42">
        <v>301414.8</v>
      </c>
      <c r="P42">
        <v>1.0278600000000001E-2</v>
      </c>
      <c r="R42">
        <v>324546.8</v>
      </c>
      <c r="S42">
        <v>300668.5</v>
      </c>
      <c r="T42">
        <v>324664.80089999997</v>
      </c>
      <c r="U42">
        <v>301437.85879999999</v>
      </c>
    </row>
    <row r="43" spans="1:21" x14ac:dyDescent="0.25">
      <c r="A43">
        <v>38</v>
      </c>
      <c r="B43">
        <v>301767.2</v>
      </c>
      <c r="C43">
        <v>301768.8</v>
      </c>
      <c r="D43">
        <v>1.0556400000000001E-2</v>
      </c>
      <c r="E43">
        <v>38</v>
      </c>
      <c r="F43">
        <v>301653.2</v>
      </c>
      <c r="G43">
        <v>301654.3</v>
      </c>
      <c r="H43">
        <v>1.0556400000000001E-2</v>
      </c>
      <c r="I43">
        <v>38</v>
      </c>
      <c r="J43">
        <v>301538.7</v>
      </c>
      <c r="K43">
        <v>301541.7</v>
      </c>
      <c r="L43">
        <v>1.0556400000000001E-2</v>
      </c>
      <c r="M43">
        <v>38</v>
      </c>
      <c r="N43">
        <v>301376</v>
      </c>
      <c r="O43">
        <v>301379</v>
      </c>
      <c r="P43">
        <v>1.0556400000000001E-2</v>
      </c>
      <c r="R43">
        <v>323663.3</v>
      </c>
      <c r="S43">
        <v>299983.2</v>
      </c>
      <c r="T43">
        <v>323756.59817000001</v>
      </c>
      <c r="U43">
        <v>300658.33429999999</v>
      </c>
    </row>
    <row r="44" spans="1:21" x14ac:dyDescent="0.25">
      <c r="A44">
        <v>39</v>
      </c>
      <c r="B44">
        <v>301787.2</v>
      </c>
      <c r="C44">
        <v>301789.2</v>
      </c>
      <c r="D44">
        <v>1.08342E-2</v>
      </c>
      <c r="E44">
        <v>39</v>
      </c>
      <c r="F44">
        <v>301657.5</v>
      </c>
      <c r="G44">
        <v>301659</v>
      </c>
      <c r="H44">
        <v>1.08342E-2</v>
      </c>
      <c r="I44">
        <v>39</v>
      </c>
      <c r="J44">
        <v>301525.90000000002</v>
      </c>
      <c r="K44">
        <v>301529.8</v>
      </c>
      <c r="L44">
        <v>1.08342E-2</v>
      </c>
      <c r="M44">
        <v>39</v>
      </c>
      <c r="N44">
        <v>301334.59999999998</v>
      </c>
      <c r="O44">
        <v>301338.40000000002</v>
      </c>
      <c r="P44">
        <v>1.08342E-2</v>
      </c>
      <c r="R44">
        <v>322950.2</v>
      </c>
      <c r="S44">
        <v>299205</v>
      </c>
      <c r="T44">
        <v>323020.77681000001</v>
      </c>
      <c r="U44">
        <v>299783.08539999998</v>
      </c>
    </row>
    <row r="45" spans="1:21" x14ac:dyDescent="0.25">
      <c r="A45">
        <v>40</v>
      </c>
      <c r="B45">
        <v>301799</v>
      </c>
      <c r="C45">
        <v>301801.5</v>
      </c>
      <c r="D45">
        <v>1.1112E-2</v>
      </c>
      <c r="E45">
        <v>40</v>
      </c>
      <c r="F45">
        <v>301654.7</v>
      </c>
      <c r="G45">
        <v>301656.8</v>
      </c>
      <c r="H45">
        <v>1.1112E-2</v>
      </c>
      <c r="I45">
        <v>40</v>
      </c>
      <c r="J45">
        <v>301516.3</v>
      </c>
      <c r="K45">
        <v>301521.09999999998</v>
      </c>
      <c r="L45">
        <v>1.1112E-2</v>
      </c>
      <c r="M45">
        <v>40</v>
      </c>
      <c r="N45">
        <v>301290.2</v>
      </c>
      <c r="O45">
        <v>301294.8</v>
      </c>
      <c r="P45">
        <v>1.1112E-2</v>
      </c>
      <c r="R45">
        <v>322435.8</v>
      </c>
      <c r="S45">
        <v>298190.59999999998</v>
      </c>
      <c r="T45">
        <v>322486.47664999997</v>
      </c>
      <c r="U45">
        <v>298717.09969999996</v>
      </c>
    </row>
    <row r="46" spans="1:21" x14ac:dyDescent="0.25">
      <c r="A46">
        <v>41</v>
      </c>
      <c r="B46">
        <v>301804</v>
      </c>
      <c r="C46">
        <v>301807.09999999998</v>
      </c>
      <c r="D46">
        <v>1.13898E-2</v>
      </c>
      <c r="E46">
        <v>41</v>
      </c>
      <c r="F46">
        <v>301646.2</v>
      </c>
      <c r="G46">
        <v>301648.8</v>
      </c>
      <c r="H46">
        <v>1.13898E-2</v>
      </c>
      <c r="I46">
        <v>41</v>
      </c>
      <c r="J46">
        <v>301511.59999999998</v>
      </c>
      <c r="K46">
        <v>301517.2</v>
      </c>
      <c r="L46">
        <v>1.13898E-2</v>
      </c>
      <c r="M46">
        <v>41</v>
      </c>
      <c r="N46">
        <v>301244.40000000002</v>
      </c>
      <c r="O46">
        <v>301249.8</v>
      </c>
      <c r="P46">
        <v>1.13898E-2</v>
      </c>
      <c r="R46">
        <v>322120.2</v>
      </c>
      <c r="S46">
        <v>296961.2</v>
      </c>
      <c r="T46">
        <v>322154.20741999999</v>
      </c>
      <c r="U46">
        <v>297505.11660000001</v>
      </c>
    </row>
    <row r="47" spans="1:21" x14ac:dyDescent="0.25">
      <c r="A47">
        <v>42</v>
      </c>
      <c r="B47">
        <v>301803.8</v>
      </c>
      <c r="C47">
        <v>301807.5</v>
      </c>
      <c r="D47">
        <v>1.16676E-2</v>
      </c>
      <c r="E47">
        <v>42</v>
      </c>
      <c r="F47">
        <v>301633.09999999998</v>
      </c>
      <c r="G47">
        <v>301636.2</v>
      </c>
      <c r="H47">
        <v>1.16676E-2</v>
      </c>
      <c r="I47">
        <v>42</v>
      </c>
      <c r="J47">
        <v>301512.7</v>
      </c>
      <c r="K47">
        <v>301519.3</v>
      </c>
      <c r="L47">
        <v>1.16676E-2</v>
      </c>
      <c r="M47">
        <v>42</v>
      </c>
      <c r="N47">
        <v>301198.5</v>
      </c>
      <c r="O47">
        <v>301204.59999999998</v>
      </c>
      <c r="P47">
        <v>1.16676E-2</v>
      </c>
      <c r="R47">
        <v>321940.8</v>
      </c>
      <c r="S47">
        <v>295674.5</v>
      </c>
      <c r="T47">
        <v>321963.42121</v>
      </c>
      <c r="U47">
        <v>296303.42849999998</v>
      </c>
    </row>
    <row r="48" spans="1:21" x14ac:dyDescent="0.25">
      <c r="A48">
        <v>43</v>
      </c>
      <c r="B48">
        <v>301800</v>
      </c>
      <c r="C48">
        <v>301804.2</v>
      </c>
      <c r="D48">
        <v>1.19454E-2</v>
      </c>
      <c r="E48">
        <v>43</v>
      </c>
      <c r="F48">
        <v>301616.2</v>
      </c>
      <c r="G48">
        <v>301619.8</v>
      </c>
      <c r="H48">
        <v>1.19454E-2</v>
      </c>
      <c r="I48">
        <v>43</v>
      </c>
      <c r="J48">
        <v>301519.09999999998</v>
      </c>
      <c r="K48">
        <v>301526.8</v>
      </c>
      <c r="L48">
        <v>1.19454E-2</v>
      </c>
      <c r="M48">
        <v>43</v>
      </c>
      <c r="N48">
        <v>301153.2</v>
      </c>
      <c r="O48">
        <v>301160</v>
      </c>
      <c r="P48">
        <v>1.19454E-2</v>
      </c>
      <c r="R48">
        <v>321797.5</v>
      </c>
      <c r="S48">
        <v>294546.2</v>
      </c>
      <c r="T48">
        <v>321819.28081000003</v>
      </c>
      <c r="U48">
        <v>295295.87479999999</v>
      </c>
    </row>
    <row r="49" spans="1:21" x14ac:dyDescent="0.25">
      <c r="A49">
        <v>44</v>
      </c>
      <c r="B49">
        <v>301794.3</v>
      </c>
      <c r="C49">
        <v>301799.09999999998</v>
      </c>
      <c r="D49">
        <v>1.22232E-2</v>
      </c>
      <c r="E49">
        <v>44</v>
      </c>
      <c r="F49">
        <v>301596.2</v>
      </c>
      <c r="G49">
        <v>301600.2</v>
      </c>
      <c r="H49">
        <v>1.22232E-2</v>
      </c>
      <c r="I49">
        <v>44</v>
      </c>
      <c r="J49">
        <v>301529.5</v>
      </c>
      <c r="K49">
        <v>301538.2</v>
      </c>
      <c r="L49">
        <v>1.22232E-2</v>
      </c>
      <c r="M49">
        <v>44</v>
      </c>
      <c r="N49">
        <v>301109.59999999998</v>
      </c>
      <c r="O49">
        <v>301116.90000000002</v>
      </c>
      <c r="P49">
        <v>1.22232E-2</v>
      </c>
      <c r="R49">
        <v>321541.8</v>
      </c>
      <c r="S49">
        <v>293802.40000000002</v>
      </c>
      <c r="T49">
        <v>321580.11738999997</v>
      </c>
      <c r="U49">
        <v>294646.31580000004</v>
      </c>
    </row>
    <row r="50" spans="1:21" x14ac:dyDescent="0.25">
      <c r="A50">
        <v>45</v>
      </c>
      <c r="B50">
        <v>301788.79999999999</v>
      </c>
      <c r="C50">
        <v>301794</v>
      </c>
      <c r="D50">
        <v>1.2501E-2</v>
      </c>
      <c r="E50">
        <v>45</v>
      </c>
      <c r="F50">
        <v>301573.7</v>
      </c>
      <c r="G50">
        <v>301578.09999999998</v>
      </c>
      <c r="H50">
        <v>1.2501E-2</v>
      </c>
      <c r="I50">
        <v>45</v>
      </c>
      <c r="J50">
        <v>301541.59999999998</v>
      </c>
      <c r="K50">
        <v>301551.59999999998</v>
      </c>
      <c r="L50">
        <v>1.2501E-2</v>
      </c>
      <c r="M50">
        <v>45</v>
      </c>
      <c r="N50">
        <v>301067.90000000002</v>
      </c>
      <c r="O50">
        <v>301075.7</v>
      </c>
      <c r="P50">
        <v>1.2501E-2</v>
      </c>
      <c r="R50">
        <v>320957.7</v>
      </c>
      <c r="S50">
        <v>293535.09999999998</v>
      </c>
      <c r="T50">
        <v>321022.19689000002</v>
      </c>
      <c r="U50">
        <v>294347.13279999996</v>
      </c>
    </row>
    <row r="51" spans="1:21" x14ac:dyDescent="0.25">
      <c r="A51">
        <v>46</v>
      </c>
      <c r="B51">
        <v>301785.8</v>
      </c>
      <c r="C51">
        <v>301791.5</v>
      </c>
      <c r="D51">
        <v>1.27788E-2</v>
      </c>
      <c r="E51">
        <v>46</v>
      </c>
      <c r="F51">
        <v>301549.5</v>
      </c>
      <c r="G51">
        <v>301554.3</v>
      </c>
      <c r="H51">
        <v>1.27788E-2</v>
      </c>
      <c r="I51">
        <v>46</v>
      </c>
      <c r="J51">
        <v>301552.8</v>
      </c>
      <c r="K51">
        <v>301564.2</v>
      </c>
      <c r="L51">
        <v>1.27788E-2</v>
      </c>
      <c r="M51">
        <v>46</v>
      </c>
      <c r="N51">
        <v>301028.5</v>
      </c>
      <c r="O51">
        <v>301036.79999999999</v>
      </c>
      <c r="P51">
        <v>1.27788E-2</v>
      </c>
      <c r="R51">
        <v>320029.3</v>
      </c>
      <c r="S51">
        <v>293595.5</v>
      </c>
      <c r="T51">
        <v>320106.42829000001</v>
      </c>
      <c r="U51">
        <v>294212.71139999997</v>
      </c>
    </row>
    <row r="52" spans="1:21" x14ac:dyDescent="0.25">
      <c r="A52">
        <v>47</v>
      </c>
      <c r="B52">
        <v>301788.09999999998</v>
      </c>
      <c r="C52">
        <v>301794.2</v>
      </c>
      <c r="D52">
        <v>1.30566E-2</v>
      </c>
      <c r="E52">
        <v>47</v>
      </c>
      <c r="F52">
        <v>301524.3</v>
      </c>
      <c r="G52">
        <v>301529.3</v>
      </c>
      <c r="H52">
        <v>1.30566E-2</v>
      </c>
      <c r="I52">
        <v>47</v>
      </c>
      <c r="J52">
        <v>301561.2</v>
      </c>
      <c r="K52">
        <v>301573.90000000002</v>
      </c>
      <c r="L52">
        <v>1.30566E-2</v>
      </c>
      <c r="M52">
        <v>47</v>
      </c>
      <c r="N52">
        <v>300991.40000000002</v>
      </c>
      <c r="O52">
        <v>301000.09999999998</v>
      </c>
      <c r="P52">
        <v>1.30566E-2</v>
      </c>
      <c r="R52">
        <v>319162.8</v>
      </c>
      <c r="S52">
        <v>293790.7</v>
      </c>
      <c r="T52">
        <v>319227.82089999999</v>
      </c>
      <c r="U52">
        <v>294130.48590000003</v>
      </c>
    </row>
    <row r="53" spans="1:21" x14ac:dyDescent="0.25">
      <c r="A53">
        <v>48</v>
      </c>
      <c r="B53">
        <v>301799.3</v>
      </c>
      <c r="C53">
        <v>301805.90000000002</v>
      </c>
      <c r="D53">
        <v>1.33344E-2</v>
      </c>
      <c r="E53">
        <v>48</v>
      </c>
      <c r="F53">
        <v>301498.59999999998</v>
      </c>
      <c r="G53">
        <v>301503.90000000002</v>
      </c>
      <c r="H53">
        <v>1.33344E-2</v>
      </c>
      <c r="I53">
        <v>48</v>
      </c>
      <c r="J53">
        <v>301564.90000000002</v>
      </c>
      <c r="K53">
        <v>301579.2</v>
      </c>
      <c r="L53">
        <v>1.33344E-2</v>
      </c>
      <c r="M53">
        <v>48</v>
      </c>
      <c r="N53">
        <v>300956.59999999998</v>
      </c>
      <c r="O53">
        <v>300965.59999999998</v>
      </c>
      <c r="P53">
        <v>1.33344E-2</v>
      </c>
      <c r="R53">
        <v>318670</v>
      </c>
      <c r="S53">
        <v>294021.3</v>
      </c>
      <c r="T53">
        <v>318712.74818</v>
      </c>
      <c r="U53">
        <v>294130.6568</v>
      </c>
    </row>
    <row r="54" spans="1:21" x14ac:dyDescent="0.25">
      <c r="A54">
        <v>49</v>
      </c>
      <c r="B54">
        <v>301823.8</v>
      </c>
      <c r="C54">
        <v>301830.90000000002</v>
      </c>
      <c r="D54">
        <v>1.36122E-2</v>
      </c>
      <c r="E54">
        <v>49</v>
      </c>
      <c r="F54">
        <v>301473.2</v>
      </c>
      <c r="G54">
        <v>301478.8</v>
      </c>
      <c r="H54">
        <v>1.36122E-2</v>
      </c>
      <c r="I54">
        <v>49</v>
      </c>
      <c r="J54">
        <v>301563.09999999998</v>
      </c>
      <c r="K54">
        <v>301578.90000000002</v>
      </c>
      <c r="L54">
        <v>1.36122E-2</v>
      </c>
      <c r="M54">
        <v>49</v>
      </c>
      <c r="N54">
        <v>300923.8</v>
      </c>
      <c r="O54">
        <v>300933.09999999998</v>
      </c>
      <c r="P54">
        <v>1.36122E-2</v>
      </c>
      <c r="R54">
        <v>318420.8</v>
      </c>
      <c r="S54">
        <v>294234.09999999998</v>
      </c>
      <c r="T54">
        <v>318449.21499999997</v>
      </c>
      <c r="U54">
        <v>294271.14145</v>
      </c>
    </row>
    <row r="55" spans="1:21" x14ac:dyDescent="0.25">
      <c r="A55">
        <v>50</v>
      </c>
      <c r="B55">
        <v>301865.8</v>
      </c>
      <c r="C55">
        <v>301873.40000000002</v>
      </c>
      <c r="D55">
        <v>1.389E-2</v>
      </c>
      <c r="E55">
        <v>50</v>
      </c>
      <c r="F55">
        <v>301449.09999999998</v>
      </c>
      <c r="G55">
        <v>301454.90000000002</v>
      </c>
      <c r="H55">
        <v>1.389E-2</v>
      </c>
      <c r="I55">
        <v>50</v>
      </c>
      <c r="J55">
        <v>301555.40000000002</v>
      </c>
      <c r="K55">
        <v>301572.8</v>
      </c>
      <c r="L55">
        <v>1.389E-2</v>
      </c>
      <c r="M55">
        <v>50</v>
      </c>
      <c r="N55">
        <v>300892.90000000002</v>
      </c>
      <c r="O55">
        <v>300902.40000000002</v>
      </c>
      <c r="P55">
        <v>1.389E-2</v>
      </c>
      <c r="R55">
        <v>318410.40000000002</v>
      </c>
      <c r="S55">
        <v>294318.40000000002</v>
      </c>
      <c r="T55">
        <v>318444.24183000001</v>
      </c>
      <c r="U55">
        <v>294463.93300000002</v>
      </c>
    </row>
    <row r="56" spans="1:21" x14ac:dyDescent="0.25">
      <c r="A56">
        <v>51</v>
      </c>
      <c r="B56">
        <v>301928.40000000002</v>
      </c>
      <c r="C56">
        <v>301936.7</v>
      </c>
      <c r="D56">
        <v>1.4167799999999999E-2</v>
      </c>
      <c r="E56">
        <v>51</v>
      </c>
      <c r="F56">
        <v>301427.59999999998</v>
      </c>
      <c r="G56">
        <v>301433.59999999998</v>
      </c>
      <c r="H56">
        <v>1.4167799999999999E-2</v>
      </c>
      <c r="I56">
        <v>51</v>
      </c>
      <c r="J56">
        <v>301541.90000000002</v>
      </c>
      <c r="K56">
        <v>301560.8</v>
      </c>
      <c r="L56">
        <v>1.4167799999999999E-2</v>
      </c>
      <c r="M56">
        <v>51</v>
      </c>
      <c r="N56">
        <v>300863.5</v>
      </c>
      <c r="O56">
        <v>300873.3</v>
      </c>
      <c r="P56">
        <v>1.4167799999999999E-2</v>
      </c>
      <c r="R56">
        <v>318681.40000000002</v>
      </c>
      <c r="S56">
        <v>294193</v>
      </c>
      <c r="T56">
        <v>318744.43230000004</v>
      </c>
      <c r="U56">
        <v>294526.52679999999</v>
      </c>
    </row>
    <row r="57" spans="1:21" x14ac:dyDescent="0.25">
      <c r="A57">
        <v>52</v>
      </c>
      <c r="B57">
        <v>302012.09999999998</v>
      </c>
      <c r="C57">
        <v>302021.3</v>
      </c>
      <c r="D57">
        <v>1.4445599999999999E-2</v>
      </c>
      <c r="E57">
        <v>52</v>
      </c>
      <c r="F57">
        <v>301410.40000000002</v>
      </c>
      <c r="G57">
        <v>301416.5</v>
      </c>
      <c r="H57">
        <v>1.4445599999999999E-2</v>
      </c>
      <c r="I57">
        <v>52</v>
      </c>
      <c r="J57">
        <v>301523.3</v>
      </c>
      <c r="K57">
        <v>301543.7</v>
      </c>
      <c r="L57">
        <v>1.4445599999999999E-2</v>
      </c>
      <c r="M57">
        <v>52</v>
      </c>
      <c r="N57">
        <v>300835.40000000002</v>
      </c>
      <c r="O57">
        <v>300845.40000000002</v>
      </c>
      <c r="P57">
        <v>1.4445599999999999E-2</v>
      </c>
      <c r="R57">
        <v>319562</v>
      </c>
      <c r="S57">
        <v>293940.5</v>
      </c>
      <c r="T57">
        <v>319665.42</v>
      </c>
      <c r="U57">
        <v>294415.84710000001</v>
      </c>
    </row>
    <row r="58" spans="1:21" x14ac:dyDescent="0.25">
      <c r="A58">
        <v>53</v>
      </c>
      <c r="B58">
        <v>302114.3</v>
      </c>
      <c r="C58">
        <v>302124.59999999998</v>
      </c>
      <c r="D58">
        <v>1.4723399999999999E-2</v>
      </c>
      <c r="E58">
        <v>53</v>
      </c>
      <c r="F58">
        <v>301400.2</v>
      </c>
      <c r="G58">
        <v>301406.40000000002</v>
      </c>
      <c r="H58">
        <v>1.4723399999999999E-2</v>
      </c>
      <c r="I58">
        <v>53</v>
      </c>
      <c r="J58">
        <v>301500.3</v>
      </c>
      <c r="K58">
        <v>301522</v>
      </c>
      <c r="L58">
        <v>1.4723399999999999E-2</v>
      </c>
      <c r="M58">
        <v>53</v>
      </c>
      <c r="N58">
        <v>300808.40000000002</v>
      </c>
      <c r="O58">
        <v>300818.5</v>
      </c>
      <c r="P58">
        <v>1.4723399999999999E-2</v>
      </c>
      <c r="R58">
        <v>320730.09999999998</v>
      </c>
      <c r="S58">
        <v>293731.90000000002</v>
      </c>
      <c r="T58">
        <v>320836.43049999996</v>
      </c>
      <c r="U58">
        <v>294250.69710000005</v>
      </c>
    </row>
    <row r="59" spans="1:21" x14ac:dyDescent="0.25">
      <c r="A59">
        <v>54</v>
      </c>
      <c r="B59">
        <v>302230.09999999998</v>
      </c>
      <c r="C59">
        <v>302241.59999999998</v>
      </c>
      <c r="D59">
        <v>1.5001199999999999E-2</v>
      </c>
      <c r="E59">
        <v>54</v>
      </c>
      <c r="F59">
        <v>301401.2</v>
      </c>
      <c r="G59">
        <v>301407.5</v>
      </c>
      <c r="H59">
        <v>1.5001199999999999E-2</v>
      </c>
      <c r="I59">
        <v>54</v>
      </c>
      <c r="J59">
        <v>301473.8</v>
      </c>
      <c r="K59">
        <v>301496.7</v>
      </c>
      <c r="L59">
        <v>1.5001199999999999E-2</v>
      </c>
      <c r="M59">
        <v>54</v>
      </c>
      <c r="N59">
        <v>300782.5</v>
      </c>
      <c r="O59">
        <v>300792.7</v>
      </c>
      <c r="P59">
        <v>1.5001199999999999E-2</v>
      </c>
      <c r="R59">
        <v>321507.8</v>
      </c>
      <c r="S59">
        <v>293778.09999999998</v>
      </c>
      <c r="T59">
        <v>321578.58851999999</v>
      </c>
      <c r="U59">
        <v>294255.0845</v>
      </c>
    </row>
    <row r="60" spans="1:21" x14ac:dyDescent="0.25">
      <c r="A60">
        <v>55</v>
      </c>
      <c r="B60">
        <v>302353</v>
      </c>
      <c r="C60">
        <v>302365.8</v>
      </c>
      <c r="D60">
        <v>1.5278999999999999E-2</v>
      </c>
      <c r="E60">
        <v>55</v>
      </c>
      <c r="F60">
        <v>301418.8</v>
      </c>
      <c r="G60">
        <v>301425.09999999998</v>
      </c>
      <c r="H60">
        <v>1.5278999999999999E-2</v>
      </c>
      <c r="I60">
        <v>55</v>
      </c>
      <c r="J60">
        <v>301444.8</v>
      </c>
      <c r="K60">
        <v>301468.90000000002</v>
      </c>
      <c r="L60">
        <v>1.5278999999999999E-2</v>
      </c>
      <c r="M60">
        <v>55</v>
      </c>
      <c r="N60">
        <v>300757.59999999998</v>
      </c>
      <c r="O60">
        <v>300767.90000000002</v>
      </c>
      <c r="P60">
        <v>1.5278999999999999E-2</v>
      </c>
      <c r="R60">
        <v>321834.2</v>
      </c>
      <c r="S60">
        <v>294138.2</v>
      </c>
      <c r="T60">
        <v>321866.47951000003</v>
      </c>
      <c r="U60">
        <v>294534.13550000003</v>
      </c>
    </row>
    <row r="61" spans="1:21" x14ac:dyDescent="0.25">
      <c r="A61">
        <v>56</v>
      </c>
      <c r="B61">
        <v>302475.8</v>
      </c>
      <c r="C61">
        <v>302490.09999999998</v>
      </c>
      <c r="D61">
        <v>1.5556800000000001E-2</v>
      </c>
      <c r="E61">
        <v>56</v>
      </c>
      <c r="F61">
        <v>301456.3</v>
      </c>
      <c r="G61">
        <v>301462.7</v>
      </c>
      <c r="H61">
        <v>1.5556800000000001E-2</v>
      </c>
      <c r="I61">
        <v>56</v>
      </c>
      <c r="J61">
        <v>301414.40000000002</v>
      </c>
      <c r="K61">
        <v>301439.5</v>
      </c>
      <c r="L61">
        <v>1.5556800000000001E-2</v>
      </c>
      <c r="M61">
        <v>56</v>
      </c>
      <c r="N61">
        <v>300734.2</v>
      </c>
      <c r="O61">
        <v>300744.59999999998</v>
      </c>
      <c r="P61">
        <v>1.5556800000000001E-2</v>
      </c>
      <c r="R61">
        <v>321975.2</v>
      </c>
      <c r="S61">
        <v>294746.7</v>
      </c>
      <c r="T61">
        <v>321986.47918000002</v>
      </c>
      <c r="U61">
        <v>295071.59090000001</v>
      </c>
    </row>
    <row r="62" spans="1:21" x14ac:dyDescent="0.25">
      <c r="A62">
        <v>57</v>
      </c>
      <c r="B62">
        <v>302590.3</v>
      </c>
      <c r="C62">
        <v>302606.09999999998</v>
      </c>
      <c r="D62">
        <v>1.5834600000000001E-2</v>
      </c>
      <c r="E62">
        <v>57</v>
      </c>
      <c r="F62">
        <v>301512.8</v>
      </c>
      <c r="G62">
        <v>301519.5</v>
      </c>
      <c r="H62">
        <v>1.5834600000000001E-2</v>
      </c>
      <c r="I62">
        <v>57</v>
      </c>
      <c r="J62">
        <v>301383.7</v>
      </c>
      <c r="K62">
        <v>301409.5</v>
      </c>
      <c r="L62">
        <v>1.5834600000000001E-2</v>
      </c>
      <c r="M62">
        <v>57</v>
      </c>
      <c r="N62">
        <v>300712.7</v>
      </c>
      <c r="O62">
        <v>300723.09999999998</v>
      </c>
      <c r="P62">
        <v>1.5834600000000001E-2</v>
      </c>
      <c r="R62">
        <v>322014.3</v>
      </c>
      <c r="S62">
        <v>295558</v>
      </c>
      <c r="T62">
        <v>322021.75318999996</v>
      </c>
      <c r="U62">
        <v>295855.96950000001</v>
      </c>
    </row>
    <row r="63" spans="1:21" x14ac:dyDescent="0.25">
      <c r="A63">
        <v>58</v>
      </c>
      <c r="B63">
        <v>302690.5</v>
      </c>
      <c r="C63">
        <v>302707.8</v>
      </c>
      <c r="D63">
        <v>1.6112399999999999E-2</v>
      </c>
      <c r="E63">
        <v>58</v>
      </c>
      <c r="F63">
        <v>301583.3</v>
      </c>
      <c r="G63">
        <v>301590.3</v>
      </c>
      <c r="H63">
        <v>1.6112399999999999E-2</v>
      </c>
      <c r="I63">
        <v>58</v>
      </c>
      <c r="J63">
        <v>301353.40000000002</v>
      </c>
      <c r="K63">
        <v>301380</v>
      </c>
      <c r="L63">
        <v>1.6112399999999999E-2</v>
      </c>
      <c r="M63">
        <v>58</v>
      </c>
      <c r="N63">
        <v>300694</v>
      </c>
      <c r="O63">
        <v>300704.40000000002</v>
      </c>
      <c r="P63">
        <v>1.6112399999999999E-2</v>
      </c>
      <c r="R63">
        <v>322044.09999999998</v>
      </c>
      <c r="S63">
        <v>296577.59999999998</v>
      </c>
      <c r="T63">
        <v>322053.72832399997</v>
      </c>
      <c r="U63">
        <v>296905.50839999999</v>
      </c>
    </row>
    <row r="64" spans="1:21" x14ac:dyDescent="0.25">
      <c r="A64">
        <v>59</v>
      </c>
      <c r="B64">
        <v>302772.2</v>
      </c>
      <c r="C64">
        <v>302790.90000000002</v>
      </c>
      <c r="D64">
        <v>1.6390200000000001E-2</v>
      </c>
      <c r="E64">
        <v>59</v>
      </c>
      <c r="F64">
        <v>301660.90000000002</v>
      </c>
      <c r="G64">
        <v>301668.5</v>
      </c>
      <c r="H64">
        <v>1.6390200000000001E-2</v>
      </c>
      <c r="I64">
        <v>59</v>
      </c>
      <c r="J64">
        <v>301324.7</v>
      </c>
      <c r="K64">
        <v>301351.8</v>
      </c>
      <c r="L64">
        <v>1.6390200000000001E-2</v>
      </c>
      <c r="M64">
        <v>59</v>
      </c>
      <c r="N64">
        <v>300679.40000000002</v>
      </c>
      <c r="O64">
        <v>300689.8</v>
      </c>
      <c r="P64">
        <v>1.6390200000000001E-2</v>
      </c>
      <c r="R64">
        <v>322089.3</v>
      </c>
      <c r="S64">
        <v>297627.5</v>
      </c>
      <c r="T64">
        <v>322099.77646999998</v>
      </c>
      <c r="U64">
        <v>298018.97710000002</v>
      </c>
    </row>
    <row r="65" spans="1:21" x14ac:dyDescent="0.25">
      <c r="A65">
        <v>60</v>
      </c>
      <c r="B65">
        <v>302832.40000000002</v>
      </c>
      <c r="C65">
        <v>302852.40000000002</v>
      </c>
      <c r="D65">
        <v>1.6667999999999999E-2</v>
      </c>
      <c r="E65">
        <v>60</v>
      </c>
      <c r="F65">
        <v>301738.7</v>
      </c>
      <c r="G65">
        <v>301747</v>
      </c>
      <c r="H65">
        <v>1.6667999999999999E-2</v>
      </c>
      <c r="I65">
        <v>60</v>
      </c>
      <c r="J65">
        <v>301298</v>
      </c>
      <c r="K65">
        <v>301325.7</v>
      </c>
      <c r="L65">
        <v>1.6667999999999999E-2</v>
      </c>
      <c r="M65">
        <v>60</v>
      </c>
      <c r="N65">
        <v>300671.09999999998</v>
      </c>
      <c r="O65">
        <v>300681.2</v>
      </c>
      <c r="P65">
        <v>1.6667999999999999E-2</v>
      </c>
      <c r="R65">
        <v>322169.59999999998</v>
      </c>
      <c r="S65">
        <v>298419.40000000002</v>
      </c>
      <c r="T65">
        <v>322179.96479</v>
      </c>
      <c r="U65">
        <v>298851.78419999999</v>
      </c>
    </row>
    <row r="66" spans="1:21" x14ac:dyDescent="0.25">
      <c r="A66">
        <v>61</v>
      </c>
      <c r="B66">
        <v>302870.5</v>
      </c>
      <c r="C66">
        <v>302891.8</v>
      </c>
      <c r="D66">
        <v>1.69458E-2</v>
      </c>
      <c r="E66">
        <v>61</v>
      </c>
      <c r="F66">
        <v>301811.20000000001</v>
      </c>
      <c r="G66">
        <v>301820.3</v>
      </c>
      <c r="H66">
        <v>1.69458E-2</v>
      </c>
      <c r="I66">
        <v>61</v>
      </c>
      <c r="J66">
        <v>301274.09999999998</v>
      </c>
      <c r="K66">
        <v>301302.09999999998</v>
      </c>
      <c r="L66">
        <v>1.69458E-2</v>
      </c>
      <c r="M66">
        <v>61</v>
      </c>
      <c r="N66">
        <v>300672</v>
      </c>
      <c r="O66">
        <v>300681.90000000002</v>
      </c>
      <c r="P66">
        <v>1.69458E-2</v>
      </c>
      <c r="R66">
        <v>322369.7</v>
      </c>
      <c r="S66">
        <v>298837.3</v>
      </c>
      <c r="T66">
        <v>322389.78334000002</v>
      </c>
      <c r="U66">
        <v>299256.88549999997</v>
      </c>
    </row>
    <row r="67" spans="1:21" x14ac:dyDescent="0.25">
      <c r="A67">
        <v>62</v>
      </c>
      <c r="B67">
        <v>302888.40000000002</v>
      </c>
      <c r="C67">
        <v>302910.7</v>
      </c>
      <c r="D67">
        <v>1.7223599999999999E-2</v>
      </c>
      <c r="E67">
        <v>62</v>
      </c>
      <c r="F67">
        <v>301874.09999999998</v>
      </c>
      <c r="G67">
        <v>301884</v>
      </c>
      <c r="H67">
        <v>1.7223599999999999E-2</v>
      </c>
      <c r="I67">
        <v>62</v>
      </c>
      <c r="J67">
        <v>301253.5</v>
      </c>
      <c r="K67">
        <v>301281.8</v>
      </c>
      <c r="L67">
        <v>1.7223599999999999E-2</v>
      </c>
      <c r="M67">
        <v>62</v>
      </c>
      <c r="N67">
        <v>300686.40000000002</v>
      </c>
      <c r="O67">
        <v>300696.09999999998</v>
      </c>
      <c r="P67">
        <v>1.7223599999999999E-2</v>
      </c>
      <c r="R67">
        <v>322940.90000000002</v>
      </c>
      <c r="S67">
        <v>298959.3</v>
      </c>
      <c r="T67">
        <v>322994.39803000004</v>
      </c>
      <c r="U67">
        <v>299328.1972</v>
      </c>
    </row>
    <row r="68" spans="1:21" x14ac:dyDescent="0.25">
      <c r="A68">
        <v>63</v>
      </c>
      <c r="B68">
        <v>302888.5</v>
      </c>
      <c r="C68">
        <v>302911.8</v>
      </c>
      <c r="D68">
        <v>1.75014E-2</v>
      </c>
      <c r="E68">
        <v>63</v>
      </c>
      <c r="F68">
        <v>301924.40000000002</v>
      </c>
      <c r="G68">
        <v>301935.2</v>
      </c>
      <c r="H68">
        <v>1.75014E-2</v>
      </c>
      <c r="I68">
        <v>63</v>
      </c>
      <c r="J68">
        <v>301236.40000000002</v>
      </c>
      <c r="K68">
        <v>301264.90000000002</v>
      </c>
      <c r="L68">
        <v>1.75014E-2</v>
      </c>
      <c r="M68">
        <v>63</v>
      </c>
      <c r="N68">
        <v>300718.09999999998</v>
      </c>
      <c r="O68">
        <v>300727.5</v>
      </c>
      <c r="P68">
        <v>1.75014E-2</v>
      </c>
      <c r="R68">
        <v>323860.90000000002</v>
      </c>
      <c r="S68">
        <v>298930.59999999998</v>
      </c>
      <c r="T68">
        <v>323924.80674000003</v>
      </c>
      <c r="U68">
        <v>299236.6544</v>
      </c>
    </row>
    <row r="69" spans="1:21" x14ac:dyDescent="0.25">
      <c r="A69">
        <v>64</v>
      </c>
      <c r="B69">
        <v>302874.09999999998</v>
      </c>
      <c r="C69">
        <v>302898</v>
      </c>
      <c r="D69">
        <v>1.7779199999999998E-2</v>
      </c>
      <c r="E69">
        <v>64</v>
      </c>
      <c r="F69">
        <v>301961</v>
      </c>
      <c r="G69">
        <v>301972.7</v>
      </c>
      <c r="H69">
        <v>1.7779199999999998E-2</v>
      </c>
      <c r="I69">
        <v>64</v>
      </c>
      <c r="J69">
        <v>301223.2</v>
      </c>
      <c r="K69">
        <v>301251.8</v>
      </c>
      <c r="L69">
        <v>1.7779199999999998E-2</v>
      </c>
      <c r="M69">
        <v>64</v>
      </c>
      <c r="N69">
        <v>300767.40000000002</v>
      </c>
      <c r="O69">
        <v>300776.7</v>
      </c>
      <c r="P69">
        <v>1.7779199999999998E-2</v>
      </c>
      <c r="R69">
        <v>324411.7</v>
      </c>
      <c r="S69">
        <v>298881.3</v>
      </c>
      <c r="T69">
        <v>324455.90403000003</v>
      </c>
      <c r="U69">
        <v>299117.92809999996</v>
      </c>
    </row>
    <row r="70" spans="1:21" x14ac:dyDescent="0.25">
      <c r="A70">
        <v>65</v>
      </c>
      <c r="B70">
        <v>302848.5</v>
      </c>
      <c r="C70">
        <v>302872.90000000002</v>
      </c>
      <c r="D70">
        <v>1.8057E-2</v>
      </c>
      <c r="E70">
        <v>65</v>
      </c>
      <c r="F70">
        <v>301984.09999999998</v>
      </c>
      <c r="G70">
        <v>301996.59999999998</v>
      </c>
      <c r="H70">
        <v>1.8057E-2</v>
      </c>
      <c r="I70">
        <v>65</v>
      </c>
      <c r="J70">
        <v>301214.09999999998</v>
      </c>
      <c r="K70">
        <v>301242.8</v>
      </c>
      <c r="L70">
        <v>1.8057E-2</v>
      </c>
      <c r="M70">
        <v>65</v>
      </c>
      <c r="N70">
        <v>300830.59999999998</v>
      </c>
      <c r="O70">
        <v>300839.90000000002</v>
      </c>
      <c r="P70">
        <v>1.8057E-2</v>
      </c>
      <c r="R70">
        <v>324626.3</v>
      </c>
      <c r="S70">
        <v>298883.59999999998</v>
      </c>
      <c r="T70">
        <v>324653.32104999997</v>
      </c>
      <c r="U70">
        <v>299044.21169999999</v>
      </c>
    </row>
    <row r="71" spans="1:21" x14ac:dyDescent="0.25">
      <c r="A71">
        <v>66</v>
      </c>
      <c r="B71">
        <v>302815.2</v>
      </c>
      <c r="C71">
        <v>302839.90000000002</v>
      </c>
      <c r="D71">
        <v>1.8334799999999998E-2</v>
      </c>
      <c r="E71">
        <v>66</v>
      </c>
      <c r="F71">
        <v>301994.7</v>
      </c>
      <c r="G71">
        <v>302007.8</v>
      </c>
      <c r="H71">
        <v>1.8334799999999998E-2</v>
      </c>
      <c r="I71">
        <v>66</v>
      </c>
      <c r="J71">
        <v>301209.8</v>
      </c>
      <c r="K71">
        <v>301238.40000000002</v>
      </c>
      <c r="L71">
        <v>1.8334799999999998E-2</v>
      </c>
      <c r="M71">
        <v>66</v>
      </c>
      <c r="N71">
        <v>300902.2</v>
      </c>
      <c r="O71">
        <v>300911.8</v>
      </c>
      <c r="P71">
        <v>1.8334799999999998E-2</v>
      </c>
      <c r="R71">
        <v>324649.59999999998</v>
      </c>
      <c r="S71">
        <v>298954.5</v>
      </c>
      <c r="T71">
        <v>324671.76783999999</v>
      </c>
      <c r="U71">
        <v>299041.13770000002</v>
      </c>
    </row>
    <row r="72" spans="1:21" x14ac:dyDescent="0.25">
      <c r="A72">
        <v>67</v>
      </c>
      <c r="B72">
        <v>302777.7</v>
      </c>
      <c r="C72">
        <v>302802.40000000002</v>
      </c>
      <c r="D72">
        <v>1.86126E-2</v>
      </c>
      <c r="E72">
        <v>67</v>
      </c>
      <c r="F72">
        <v>301994.09999999998</v>
      </c>
      <c r="G72">
        <v>302007.90000000002</v>
      </c>
      <c r="H72">
        <v>1.86126E-2</v>
      </c>
      <c r="I72">
        <v>67</v>
      </c>
      <c r="J72">
        <v>301211.3</v>
      </c>
      <c r="K72">
        <v>301239.90000000002</v>
      </c>
      <c r="L72">
        <v>1.86126E-2</v>
      </c>
      <c r="M72">
        <v>67</v>
      </c>
      <c r="N72">
        <v>300978</v>
      </c>
      <c r="O72">
        <v>300988.09999999998</v>
      </c>
      <c r="P72">
        <v>1.86126E-2</v>
      </c>
      <c r="R72">
        <v>324551.90000000002</v>
      </c>
      <c r="S72">
        <v>299085.59999999998</v>
      </c>
      <c r="T72">
        <v>324579.57318000001</v>
      </c>
      <c r="U72">
        <v>299122.27391999995</v>
      </c>
    </row>
    <row r="73" spans="1:21" x14ac:dyDescent="0.25">
      <c r="A73">
        <v>68</v>
      </c>
      <c r="B73">
        <v>302739.5</v>
      </c>
      <c r="C73">
        <v>302764.2</v>
      </c>
      <c r="D73">
        <v>1.8890400000000002E-2</v>
      </c>
      <c r="E73">
        <v>68</v>
      </c>
      <c r="F73">
        <v>301984.2</v>
      </c>
      <c r="G73">
        <v>301998.5</v>
      </c>
      <c r="H73">
        <v>1.8890400000000002E-2</v>
      </c>
      <c r="I73">
        <v>68</v>
      </c>
      <c r="J73">
        <v>301220.90000000002</v>
      </c>
      <c r="K73">
        <v>301249.40000000002</v>
      </c>
      <c r="L73">
        <v>1.8890400000000002E-2</v>
      </c>
      <c r="M73">
        <v>68</v>
      </c>
      <c r="N73">
        <v>301054.40000000002</v>
      </c>
      <c r="O73">
        <v>301065.2</v>
      </c>
      <c r="P73">
        <v>1.8890400000000002E-2</v>
      </c>
      <c r="R73">
        <v>324362.59999999998</v>
      </c>
      <c r="S73">
        <v>299247.40000000002</v>
      </c>
      <c r="T73">
        <v>324398.76924999995</v>
      </c>
      <c r="U73">
        <v>299283.44932000001</v>
      </c>
    </row>
    <row r="74" spans="1:21" x14ac:dyDescent="0.25">
      <c r="A74">
        <v>69</v>
      </c>
      <c r="B74">
        <v>302704.5</v>
      </c>
      <c r="C74">
        <v>302729</v>
      </c>
      <c r="D74">
        <v>1.91682E-2</v>
      </c>
      <c r="E74">
        <v>69</v>
      </c>
      <c r="F74">
        <v>301966.5</v>
      </c>
      <c r="G74">
        <v>301981.2</v>
      </c>
      <c r="H74">
        <v>1.91682E-2</v>
      </c>
      <c r="I74">
        <v>69</v>
      </c>
      <c r="J74">
        <v>301242.09999999998</v>
      </c>
      <c r="K74">
        <v>301270.5</v>
      </c>
      <c r="L74">
        <v>1.91682E-2</v>
      </c>
      <c r="M74">
        <v>69</v>
      </c>
      <c r="N74">
        <v>301128.3</v>
      </c>
      <c r="O74">
        <v>301139.8</v>
      </c>
      <c r="P74">
        <v>1.91682E-2</v>
      </c>
      <c r="R74">
        <v>324114.3</v>
      </c>
      <c r="S74">
        <v>299405.59999999998</v>
      </c>
      <c r="T74">
        <v>324154.95366</v>
      </c>
      <c r="U74">
        <v>299491.93558999995</v>
      </c>
    </row>
    <row r="75" spans="1:21" x14ac:dyDescent="0.25">
      <c r="A75">
        <v>70</v>
      </c>
      <c r="B75">
        <v>302680.3</v>
      </c>
      <c r="C75">
        <v>302704.2</v>
      </c>
      <c r="D75">
        <v>1.9446000000000001E-2</v>
      </c>
      <c r="E75">
        <v>70</v>
      </c>
      <c r="F75">
        <v>301945.7</v>
      </c>
      <c r="G75">
        <v>301960.5</v>
      </c>
      <c r="H75">
        <v>1.9446000000000001E-2</v>
      </c>
      <c r="I75">
        <v>70</v>
      </c>
      <c r="J75">
        <v>301283.8</v>
      </c>
      <c r="K75">
        <v>301311.7</v>
      </c>
      <c r="L75">
        <v>1.9446000000000001E-2</v>
      </c>
      <c r="M75">
        <v>70</v>
      </c>
      <c r="N75">
        <v>301201.3</v>
      </c>
      <c r="O75">
        <v>301213.40000000002</v>
      </c>
      <c r="P75">
        <v>1.9446000000000001E-2</v>
      </c>
      <c r="R75">
        <v>323853.40000000002</v>
      </c>
      <c r="S75">
        <v>299558.8</v>
      </c>
      <c r="T75">
        <v>323892.76911000005</v>
      </c>
      <c r="U75">
        <v>299705.61109999998</v>
      </c>
    </row>
    <row r="76" spans="1:21" x14ac:dyDescent="0.25">
      <c r="A76">
        <v>71</v>
      </c>
      <c r="B76">
        <v>302669.5</v>
      </c>
      <c r="C76">
        <v>302692.8</v>
      </c>
      <c r="D76">
        <v>1.97238E-2</v>
      </c>
      <c r="E76">
        <v>71</v>
      </c>
      <c r="F76">
        <v>301919.2</v>
      </c>
      <c r="G76">
        <v>301934.09999999998</v>
      </c>
      <c r="H76">
        <v>1.97238E-2</v>
      </c>
      <c r="I76">
        <v>71</v>
      </c>
      <c r="J76">
        <v>301346.90000000002</v>
      </c>
      <c r="K76">
        <v>301374.40000000002</v>
      </c>
      <c r="L76">
        <v>1.97238E-2</v>
      </c>
      <c r="M76">
        <v>71</v>
      </c>
      <c r="N76">
        <v>301269</v>
      </c>
      <c r="O76">
        <v>301281.5</v>
      </c>
      <c r="P76">
        <v>1.97238E-2</v>
      </c>
      <c r="R76">
        <v>323597.3</v>
      </c>
      <c r="S76">
        <v>299763.59999999998</v>
      </c>
      <c r="T76">
        <v>324389.22729999997</v>
      </c>
      <c r="U76">
        <v>299923.16969999997</v>
      </c>
    </row>
    <row r="77" spans="1:21" x14ac:dyDescent="0.25">
      <c r="A77">
        <v>72</v>
      </c>
      <c r="B77">
        <v>302684.3</v>
      </c>
      <c r="C77">
        <v>302707.3</v>
      </c>
      <c r="D77">
        <v>2.0001600000000001E-2</v>
      </c>
      <c r="E77">
        <v>72</v>
      </c>
      <c r="F77">
        <v>301888.7</v>
      </c>
      <c r="G77">
        <v>301903.40000000002</v>
      </c>
      <c r="H77">
        <v>2.0001600000000001E-2</v>
      </c>
      <c r="I77">
        <v>72</v>
      </c>
      <c r="J77">
        <v>301434.8</v>
      </c>
      <c r="K77">
        <v>301462.2</v>
      </c>
      <c r="L77">
        <v>2.0001600000000001E-2</v>
      </c>
      <c r="M77">
        <v>72</v>
      </c>
      <c r="N77">
        <v>301332.3</v>
      </c>
      <c r="O77">
        <v>301345.3</v>
      </c>
      <c r="P77">
        <v>2.0001600000000001E-2</v>
      </c>
      <c r="R77">
        <v>325779.5</v>
      </c>
      <c r="S77">
        <v>300089.3</v>
      </c>
      <c r="T77">
        <v>328146.71600000001</v>
      </c>
      <c r="U77">
        <v>300199.95289999997</v>
      </c>
    </row>
    <row r="78" spans="1:21" x14ac:dyDescent="0.25">
      <c r="A78">
        <v>73</v>
      </c>
      <c r="B78">
        <v>303161.8</v>
      </c>
      <c r="C78">
        <v>303168.7</v>
      </c>
      <c r="D78">
        <v>2.02794E-2</v>
      </c>
      <c r="E78">
        <v>73</v>
      </c>
      <c r="F78">
        <v>302244.09999999998</v>
      </c>
      <c r="G78">
        <v>302247.90000000002</v>
      </c>
      <c r="H78">
        <v>2.02794E-2</v>
      </c>
      <c r="I78">
        <v>73</v>
      </c>
      <c r="J78">
        <v>302041.5</v>
      </c>
      <c r="K78">
        <v>302049.40000000002</v>
      </c>
      <c r="L78">
        <v>2.02794E-2</v>
      </c>
      <c r="M78">
        <v>73</v>
      </c>
      <c r="N78">
        <v>301879.09999999998</v>
      </c>
      <c r="O78">
        <v>301881.8</v>
      </c>
      <c r="P78">
        <v>2.02794E-2</v>
      </c>
      <c r="R78">
        <v>327894.5</v>
      </c>
      <c r="S78">
        <v>300955.7</v>
      </c>
      <c r="T78">
        <v>331955.90999999997</v>
      </c>
      <c r="U78">
        <v>301121.17110000004</v>
      </c>
    </row>
    <row r="79" spans="1:21" x14ac:dyDescent="0.25">
      <c r="A79">
        <v>74</v>
      </c>
      <c r="B79">
        <v>304235</v>
      </c>
      <c r="C79">
        <v>304318.8</v>
      </c>
      <c r="D79">
        <v>2.0557200000000001E-2</v>
      </c>
      <c r="E79">
        <v>74</v>
      </c>
      <c r="F79">
        <v>303116.09999999998</v>
      </c>
      <c r="G79">
        <v>303200.8</v>
      </c>
      <c r="H79">
        <v>2.0557200000000001E-2</v>
      </c>
      <c r="I79">
        <v>74</v>
      </c>
      <c r="J79">
        <v>303260.3</v>
      </c>
      <c r="K79">
        <v>303344.59999999998</v>
      </c>
      <c r="L79">
        <v>2.0557200000000001E-2</v>
      </c>
      <c r="M79">
        <v>74</v>
      </c>
      <c r="N79">
        <v>303007.5</v>
      </c>
      <c r="O79">
        <v>303091.3</v>
      </c>
      <c r="P79">
        <v>2.0557200000000001E-2</v>
      </c>
      <c r="R79">
        <v>330113.3</v>
      </c>
      <c r="S79">
        <v>306000.7</v>
      </c>
      <c r="T79">
        <v>335395.842</v>
      </c>
      <c r="U79">
        <v>307488.74100000004</v>
      </c>
    </row>
    <row r="80" spans="1:21" x14ac:dyDescent="0.25">
      <c r="A80">
        <v>75</v>
      </c>
      <c r="B80">
        <v>305615.7</v>
      </c>
      <c r="C80">
        <v>305938.40000000002</v>
      </c>
      <c r="D80">
        <v>2.0834999999999999E-2</v>
      </c>
      <c r="E80">
        <v>75</v>
      </c>
      <c r="F80">
        <v>304217.8</v>
      </c>
      <c r="G80">
        <v>304543.2</v>
      </c>
      <c r="H80">
        <v>2.0834999999999999E-2</v>
      </c>
      <c r="I80">
        <v>75</v>
      </c>
      <c r="J80">
        <v>304732.5</v>
      </c>
      <c r="K80">
        <v>305056.59999999998</v>
      </c>
      <c r="L80">
        <v>2.0834999999999999E-2</v>
      </c>
      <c r="M80">
        <v>75</v>
      </c>
      <c r="N80">
        <v>304371.59999999998</v>
      </c>
      <c r="O80">
        <v>304696</v>
      </c>
      <c r="P80">
        <v>2.0834999999999999E-2</v>
      </c>
      <c r="R80">
        <v>332706.09999999998</v>
      </c>
      <c r="S80">
        <v>310232.90000000002</v>
      </c>
      <c r="T80">
        <v>338539.342</v>
      </c>
      <c r="U80">
        <v>314632.03200000001</v>
      </c>
    </row>
    <row r="81" spans="1:21" x14ac:dyDescent="0.25">
      <c r="A81">
        <v>76</v>
      </c>
      <c r="B81">
        <v>306851.59999999998</v>
      </c>
      <c r="C81">
        <v>307475.7</v>
      </c>
      <c r="D81">
        <v>2.1112800000000001E-2</v>
      </c>
      <c r="E81">
        <v>76</v>
      </c>
      <c r="F81">
        <v>305161.09999999998</v>
      </c>
      <c r="G81">
        <v>305789.59999999998</v>
      </c>
      <c r="H81">
        <v>2.1112800000000001E-2</v>
      </c>
      <c r="I81">
        <v>76</v>
      </c>
      <c r="J81">
        <v>306003.09999999998</v>
      </c>
      <c r="K81">
        <v>306629.5</v>
      </c>
      <c r="L81">
        <v>2.1112800000000001E-2</v>
      </c>
      <c r="M81">
        <v>76</v>
      </c>
      <c r="N81">
        <v>305548.09999999998</v>
      </c>
      <c r="O81">
        <v>306175.40000000002</v>
      </c>
      <c r="P81">
        <v>2.1112800000000001E-2</v>
      </c>
      <c r="R81">
        <v>334435.40000000002</v>
      </c>
      <c r="S81">
        <v>309442.09999999998</v>
      </c>
      <c r="T81">
        <v>340712.647</v>
      </c>
      <c r="U81">
        <v>317818.64799999999</v>
      </c>
    </row>
    <row r="82" spans="1:21" x14ac:dyDescent="0.25">
      <c r="A82">
        <v>77</v>
      </c>
      <c r="B82">
        <v>307791.90000000002</v>
      </c>
      <c r="C82">
        <v>308682.40000000002</v>
      </c>
      <c r="D82">
        <v>2.1390599999999999E-2</v>
      </c>
      <c r="E82">
        <v>77</v>
      </c>
      <c r="F82">
        <v>305872.90000000002</v>
      </c>
      <c r="G82">
        <v>306769</v>
      </c>
      <c r="H82">
        <v>2.1390599999999999E-2</v>
      </c>
      <c r="I82">
        <v>77</v>
      </c>
      <c r="J82">
        <v>306950.40000000002</v>
      </c>
      <c r="K82">
        <v>307843.90000000002</v>
      </c>
      <c r="L82">
        <v>2.1390599999999999E-2</v>
      </c>
      <c r="M82">
        <v>77</v>
      </c>
      <c r="N82">
        <v>306415.90000000002</v>
      </c>
      <c r="O82">
        <v>307310.5</v>
      </c>
      <c r="P82">
        <v>2.1390599999999999E-2</v>
      </c>
      <c r="R82">
        <v>335213.3</v>
      </c>
      <c r="S82">
        <v>305016.59999999998</v>
      </c>
      <c r="T82">
        <v>341956.98499999999</v>
      </c>
      <c r="U82">
        <v>317988.67</v>
      </c>
    </row>
    <row r="83" spans="1:21" x14ac:dyDescent="0.25">
      <c r="A83">
        <v>78</v>
      </c>
      <c r="B83">
        <v>308818.3</v>
      </c>
      <c r="C83">
        <v>310008.2</v>
      </c>
      <c r="D83">
        <v>2.1668400000000001E-2</v>
      </c>
      <c r="E83">
        <v>78</v>
      </c>
      <c r="F83">
        <v>306759.8</v>
      </c>
      <c r="G83">
        <v>307956.59999999998</v>
      </c>
      <c r="H83">
        <v>2.1668400000000001E-2</v>
      </c>
      <c r="I83">
        <v>78</v>
      </c>
      <c r="J83">
        <v>307985.5</v>
      </c>
      <c r="K83">
        <v>309179.09999999998</v>
      </c>
      <c r="L83">
        <v>2.1668400000000001E-2</v>
      </c>
      <c r="M83">
        <v>78</v>
      </c>
      <c r="N83">
        <v>307416.8</v>
      </c>
      <c r="O83">
        <v>308611.8</v>
      </c>
      <c r="P83">
        <v>2.1668400000000001E-2</v>
      </c>
      <c r="R83">
        <v>334608.90000000002</v>
      </c>
      <c r="S83">
        <v>303057.5</v>
      </c>
      <c r="T83">
        <v>341781.06700000004</v>
      </c>
      <c r="U83">
        <v>318255.25</v>
      </c>
    </row>
    <row r="84" spans="1:21" x14ac:dyDescent="0.25">
      <c r="A84">
        <v>79</v>
      </c>
      <c r="B84">
        <v>309647.90000000002</v>
      </c>
      <c r="C84">
        <v>311132.90000000002</v>
      </c>
      <c r="D84">
        <v>2.1946199999999999E-2</v>
      </c>
      <c r="E84">
        <v>79</v>
      </c>
      <c r="F84">
        <v>307581.5</v>
      </c>
      <c r="G84">
        <v>309074.5</v>
      </c>
      <c r="H84">
        <v>2.1946199999999999E-2</v>
      </c>
      <c r="I84">
        <v>79</v>
      </c>
      <c r="J84">
        <v>308813.09999999998</v>
      </c>
      <c r="K84">
        <v>310302.5</v>
      </c>
      <c r="L84">
        <v>2.1946199999999999E-2</v>
      </c>
      <c r="M84">
        <v>79</v>
      </c>
      <c r="N84">
        <v>308244.2</v>
      </c>
      <c r="O84">
        <v>309735.3</v>
      </c>
      <c r="P84">
        <v>2.1946199999999999E-2</v>
      </c>
      <c r="R84">
        <v>333583.5</v>
      </c>
      <c r="S84">
        <v>305063</v>
      </c>
      <c r="T84">
        <v>341158.52799999999</v>
      </c>
      <c r="U84">
        <v>320206.71000000002</v>
      </c>
    </row>
    <row r="85" spans="1:21" x14ac:dyDescent="0.25">
      <c r="A85">
        <v>80</v>
      </c>
      <c r="B85">
        <v>310234.5</v>
      </c>
      <c r="C85">
        <v>311971.90000000002</v>
      </c>
      <c r="D85">
        <v>2.2224000000000001E-2</v>
      </c>
      <c r="E85">
        <v>80</v>
      </c>
      <c r="F85">
        <v>308291.3</v>
      </c>
      <c r="G85">
        <v>310037.09999999998</v>
      </c>
      <c r="H85">
        <v>2.2224000000000001E-2</v>
      </c>
      <c r="I85">
        <v>80</v>
      </c>
      <c r="J85">
        <v>309392.59999999998</v>
      </c>
      <c r="K85">
        <v>311134.8</v>
      </c>
      <c r="L85">
        <v>2.2224000000000001E-2</v>
      </c>
      <c r="M85">
        <v>80</v>
      </c>
      <c r="N85">
        <v>308840.8</v>
      </c>
      <c r="O85">
        <v>310585.3</v>
      </c>
      <c r="P85">
        <v>2.2224000000000001E-2</v>
      </c>
      <c r="R85">
        <v>333239.2</v>
      </c>
      <c r="S85">
        <v>306539.7</v>
      </c>
      <c r="T85">
        <v>341826.02100000001</v>
      </c>
      <c r="U85">
        <v>321311.79000000004</v>
      </c>
    </row>
    <row r="86" spans="1:21" x14ac:dyDescent="0.25">
      <c r="A86">
        <v>81</v>
      </c>
      <c r="B86">
        <v>310719.3</v>
      </c>
      <c r="C86">
        <v>312694.7</v>
      </c>
      <c r="D86">
        <v>2.2501799999999999E-2</v>
      </c>
      <c r="E86">
        <v>81</v>
      </c>
      <c r="F86">
        <v>308993.5</v>
      </c>
      <c r="G86">
        <v>310976.8</v>
      </c>
      <c r="H86">
        <v>2.2501799999999999E-2</v>
      </c>
      <c r="I86">
        <v>81</v>
      </c>
      <c r="J86">
        <v>309886.90000000002</v>
      </c>
      <c r="K86">
        <v>311867.3</v>
      </c>
      <c r="L86">
        <v>2.2501799999999999E-2</v>
      </c>
      <c r="M86">
        <v>81</v>
      </c>
      <c r="N86">
        <v>309346.40000000002</v>
      </c>
      <c r="O86">
        <v>311329.40000000002</v>
      </c>
      <c r="P86">
        <v>2.2501799999999999E-2</v>
      </c>
      <c r="R86">
        <v>333193.8</v>
      </c>
      <c r="S86">
        <v>307551.3</v>
      </c>
      <c r="T86">
        <v>343365.04</v>
      </c>
      <c r="U86">
        <v>322471.38</v>
      </c>
    </row>
    <row r="87" spans="1:21" x14ac:dyDescent="0.25">
      <c r="A87">
        <v>82</v>
      </c>
      <c r="B87">
        <v>311405.40000000002</v>
      </c>
      <c r="C87">
        <v>313711.40000000002</v>
      </c>
      <c r="D87">
        <v>2.2779600000000001E-2</v>
      </c>
      <c r="E87">
        <v>82</v>
      </c>
      <c r="F87">
        <v>309947.8</v>
      </c>
      <c r="G87">
        <v>312261.59999999998</v>
      </c>
      <c r="H87">
        <v>2.2779600000000001E-2</v>
      </c>
      <c r="I87">
        <v>82</v>
      </c>
      <c r="J87">
        <v>310624.90000000002</v>
      </c>
      <c r="K87">
        <v>312936.5</v>
      </c>
      <c r="L87">
        <v>2.2779600000000001E-2</v>
      </c>
      <c r="M87">
        <v>82</v>
      </c>
      <c r="N87">
        <v>310080.59999999998</v>
      </c>
      <c r="O87">
        <v>312395.2</v>
      </c>
      <c r="P87">
        <v>2.2779600000000001E-2</v>
      </c>
      <c r="R87">
        <v>333027.20000000001</v>
      </c>
      <c r="S87">
        <v>308398.90000000002</v>
      </c>
      <c r="T87">
        <v>344672.38</v>
      </c>
      <c r="U87">
        <v>324375.57</v>
      </c>
    </row>
    <row r="88" spans="1:21" x14ac:dyDescent="0.25">
      <c r="A88">
        <v>83</v>
      </c>
      <c r="B88">
        <v>312123.3</v>
      </c>
      <c r="C88">
        <v>314823.8</v>
      </c>
      <c r="D88">
        <v>2.3057399999999999E-2</v>
      </c>
      <c r="E88">
        <v>83</v>
      </c>
      <c r="F88">
        <v>310937.2</v>
      </c>
      <c r="G88">
        <v>313645.2</v>
      </c>
      <c r="H88">
        <v>2.3057399999999999E-2</v>
      </c>
      <c r="I88">
        <v>83</v>
      </c>
      <c r="J88">
        <v>311416.7</v>
      </c>
      <c r="K88">
        <v>314123.2</v>
      </c>
      <c r="L88">
        <v>2.3057399999999999E-2</v>
      </c>
      <c r="M88">
        <v>83</v>
      </c>
      <c r="N88">
        <v>310858.7</v>
      </c>
      <c r="O88">
        <v>313568.8</v>
      </c>
      <c r="P88">
        <v>2.3057399999999999E-2</v>
      </c>
      <c r="R88">
        <v>332773.90000000002</v>
      </c>
      <c r="S88">
        <v>308565</v>
      </c>
      <c r="T88">
        <v>345423.36000000004</v>
      </c>
      <c r="U88">
        <v>326033.57</v>
      </c>
    </row>
    <row r="89" spans="1:21" x14ac:dyDescent="0.25">
      <c r="A89">
        <v>84</v>
      </c>
      <c r="B89">
        <v>312685.3</v>
      </c>
      <c r="C89">
        <v>315760.8</v>
      </c>
      <c r="D89">
        <v>2.33352E-2</v>
      </c>
      <c r="E89">
        <v>84</v>
      </c>
      <c r="F89">
        <v>311737.3</v>
      </c>
      <c r="G89">
        <v>314819.7</v>
      </c>
      <c r="H89">
        <v>2.33352E-2</v>
      </c>
      <c r="I89">
        <v>84</v>
      </c>
      <c r="J89">
        <v>312052.2</v>
      </c>
      <c r="K89">
        <v>315133.8</v>
      </c>
      <c r="L89">
        <v>2.33352E-2</v>
      </c>
      <c r="M89">
        <v>84</v>
      </c>
      <c r="N89">
        <v>311475.90000000002</v>
      </c>
      <c r="O89">
        <v>314561.8</v>
      </c>
      <c r="P89">
        <v>2.33352E-2</v>
      </c>
      <c r="R89">
        <v>332255.7</v>
      </c>
      <c r="S89">
        <v>307989.3</v>
      </c>
      <c r="T89">
        <v>345924.4</v>
      </c>
      <c r="U89">
        <v>326650.83999999997</v>
      </c>
    </row>
    <row r="90" spans="1:21" x14ac:dyDescent="0.25">
      <c r="A90">
        <v>85</v>
      </c>
      <c r="B90">
        <v>312920.3</v>
      </c>
      <c r="C90">
        <v>316259.3</v>
      </c>
      <c r="D90">
        <v>2.3612999999999999E-2</v>
      </c>
      <c r="E90">
        <v>85</v>
      </c>
      <c r="F90">
        <v>312158.8</v>
      </c>
      <c r="G90">
        <v>315503.7</v>
      </c>
      <c r="H90">
        <v>2.3612999999999999E-2</v>
      </c>
      <c r="I90">
        <v>85</v>
      </c>
      <c r="J90">
        <v>312345.2</v>
      </c>
      <c r="K90">
        <v>315690</v>
      </c>
      <c r="L90">
        <v>2.3612999999999999E-2</v>
      </c>
      <c r="M90">
        <v>85</v>
      </c>
      <c r="N90">
        <v>311748.09999999998</v>
      </c>
      <c r="O90">
        <v>315097.90000000002</v>
      </c>
      <c r="P90">
        <v>2.3612999999999999E-2</v>
      </c>
      <c r="R90">
        <v>331791.2</v>
      </c>
      <c r="S90">
        <v>306356.40000000002</v>
      </c>
      <c r="T90">
        <v>346470.84</v>
      </c>
      <c r="U90">
        <v>326252.96000000002</v>
      </c>
    </row>
    <row r="91" spans="1:21" x14ac:dyDescent="0.25">
      <c r="A91">
        <v>86</v>
      </c>
      <c r="B91">
        <v>313151.59999999998</v>
      </c>
      <c r="C91">
        <v>316740.2</v>
      </c>
      <c r="D91">
        <v>2.38908E-2</v>
      </c>
      <c r="E91">
        <v>86</v>
      </c>
      <c r="F91">
        <v>312522.40000000002</v>
      </c>
      <c r="G91">
        <v>316116.3</v>
      </c>
      <c r="H91">
        <v>2.38908E-2</v>
      </c>
      <c r="I91">
        <v>86</v>
      </c>
      <c r="J91">
        <v>312644</v>
      </c>
      <c r="K91">
        <v>316238.2</v>
      </c>
      <c r="L91">
        <v>2.38908E-2</v>
      </c>
      <c r="M91">
        <v>86</v>
      </c>
      <c r="N91">
        <v>312022.3</v>
      </c>
      <c r="O91">
        <v>315622.2</v>
      </c>
      <c r="P91">
        <v>2.38908E-2</v>
      </c>
      <c r="R91">
        <v>331893.2</v>
      </c>
      <c r="S91">
        <v>305152.40000000002</v>
      </c>
      <c r="T91">
        <v>347132.14</v>
      </c>
      <c r="U91">
        <v>326136.28000000003</v>
      </c>
    </row>
    <row r="92" spans="1:21" x14ac:dyDescent="0.25">
      <c r="A92">
        <v>87</v>
      </c>
      <c r="B92">
        <v>313357.7</v>
      </c>
      <c r="C92">
        <v>317197.90000000002</v>
      </c>
      <c r="D92">
        <v>2.4168599999999998E-2</v>
      </c>
      <c r="E92">
        <v>87</v>
      </c>
      <c r="F92">
        <v>312816.40000000002</v>
      </c>
      <c r="G92">
        <v>316661.7</v>
      </c>
      <c r="H92">
        <v>2.4168599999999998E-2</v>
      </c>
      <c r="I92">
        <v>87</v>
      </c>
      <c r="J92">
        <v>312926.3</v>
      </c>
      <c r="K92">
        <v>316771.8</v>
      </c>
      <c r="L92">
        <v>2.4168599999999998E-2</v>
      </c>
      <c r="M92">
        <v>87</v>
      </c>
      <c r="N92">
        <v>312282.3</v>
      </c>
      <c r="O92">
        <v>316134</v>
      </c>
      <c r="P92">
        <v>2.4168599999999998E-2</v>
      </c>
      <c r="R92">
        <v>332402.40000000002</v>
      </c>
      <c r="S92">
        <v>306404.8</v>
      </c>
      <c r="T92">
        <v>347438.85000000003</v>
      </c>
      <c r="U92">
        <v>327395.13</v>
      </c>
    </row>
    <row r="93" spans="1:21" x14ac:dyDescent="0.25">
      <c r="A93">
        <v>88</v>
      </c>
      <c r="B93">
        <v>313335.09999999998</v>
      </c>
      <c r="C93">
        <v>317346.8</v>
      </c>
      <c r="D93">
        <v>2.44464E-2</v>
      </c>
      <c r="E93">
        <v>88</v>
      </c>
      <c r="F93">
        <v>312850.2</v>
      </c>
      <c r="G93">
        <v>316866.5</v>
      </c>
      <c r="H93">
        <v>2.44464E-2</v>
      </c>
      <c r="I93">
        <v>88</v>
      </c>
      <c r="J93">
        <v>312971.8</v>
      </c>
      <c r="K93">
        <v>316988.2</v>
      </c>
      <c r="L93">
        <v>2.44464E-2</v>
      </c>
      <c r="M93">
        <v>88</v>
      </c>
      <c r="N93">
        <v>312318.5</v>
      </c>
      <c r="O93">
        <v>316341.59999999998</v>
      </c>
      <c r="P93">
        <v>2.44464E-2</v>
      </c>
      <c r="R93">
        <v>333384.59999999998</v>
      </c>
      <c r="S93">
        <v>308883.8</v>
      </c>
      <c r="T93">
        <v>347803.48</v>
      </c>
      <c r="U93">
        <v>328833.91999999998</v>
      </c>
    </row>
    <row r="94" spans="1:21" x14ac:dyDescent="0.25">
      <c r="A94">
        <v>89</v>
      </c>
      <c r="B94">
        <v>312869.3</v>
      </c>
      <c r="C94">
        <v>316861.8</v>
      </c>
      <c r="D94">
        <v>2.4724200000000002E-2</v>
      </c>
      <c r="E94">
        <v>89</v>
      </c>
      <c r="F94">
        <v>312419.09999999998</v>
      </c>
      <c r="G94">
        <v>316415.90000000002</v>
      </c>
      <c r="H94">
        <v>2.4724200000000002E-2</v>
      </c>
      <c r="I94">
        <v>89</v>
      </c>
      <c r="J94">
        <v>312545.3</v>
      </c>
      <c r="K94">
        <v>316542</v>
      </c>
      <c r="L94">
        <v>2.4724200000000002E-2</v>
      </c>
      <c r="M94">
        <v>89</v>
      </c>
      <c r="N94">
        <v>311904.8</v>
      </c>
      <c r="O94">
        <v>315908.09999999998</v>
      </c>
      <c r="P94">
        <v>2.4724200000000002E-2</v>
      </c>
      <c r="R94">
        <v>335349.09999999998</v>
      </c>
      <c r="S94">
        <v>310646.40000000002</v>
      </c>
      <c r="T94">
        <v>348572.95999999996</v>
      </c>
      <c r="U94">
        <v>329105.82</v>
      </c>
    </row>
    <row r="95" spans="1:21" x14ac:dyDescent="0.25">
      <c r="A95">
        <v>90</v>
      </c>
      <c r="B95">
        <v>312170.8</v>
      </c>
      <c r="C95">
        <v>316011</v>
      </c>
      <c r="D95">
        <v>2.5002E-2</v>
      </c>
      <c r="E95">
        <v>90</v>
      </c>
      <c r="F95">
        <v>311743.3</v>
      </c>
      <c r="G95">
        <v>315587.59999999998</v>
      </c>
      <c r="H95">
        <v>2.5002E-2</v>
      </c>
      <c r="I95">
        <v>90</v>
      </c>
      <c r="J95">
        <v>311867.59999999998</v>
      </c>
      <c r="K95">
        <v>315711.59999999998</v>
      </c>
      <c r="L95">
        <v>2.5002E-2</v>
      </c>
      <c r="M95">
        <v>90</v>
      </c>
      <c r="N95">
        <v>311262</v>
      </c>
      <c r="O95">
        <v>315112</v>
      </c>
      <c r="P95">
        <v>2.5002E-2</v>
      </c>
      <c r="R95">
        <v>337754</v>
      </c>
      <c r="S95">
        <v>310735.90000000002</v>
      </c>
      <c r="T95">
        <v>349499.62</v>
      </c>
      <c r="U95">
        <v>327839.54000000004</v>
      </c>
    </row>
    <row r="96" spans="1:21" x14ac:dyDescent="0.25">
      <c r="A96">
        <v>91</v>
      </c>
      <c r="B96">
        <v>310953.59999999998</v>
      </c>
      <c r="C96">
        <v>314414.2</v>
      </c>
      <c r="D96">
        <v>2.5279800000000002E-2</v>
      </c>
      <c r="E96">
        <v>91</v>
      </c>
      <c r="F96">
        <v>310549</v>
      </c>
      <c r="G96">
        <v>314013</v>
      </c>
      <c r="H96">
        <v>2.5279800000000002E-2</v>
      </c>
      <c r="I96">
        <v>91</v>
      </c>
      <c r="J96">
        <v>310625.7</v>
      </c>
      <c r="K96">
        <v>314089.7</v>
      </c>
      <c r="L96">
        <v>2.5279800000000002E-2</v>
      </c>
      <c r="M96">
        <v>91</v>
      </c>
      <c r="N96">
        <v>310080.5</v>
      </c>
      <c r="O96">
        <v>313549.59999999998</v>
      </c>
      <c r="P96">
        <v>2.5279800000000002E-2</v>
      </c>
      <c r="R96">
        <v>339163.8</v>
      </c>
      <c r="S96">
        <v>309062.2</v>
      </c>
      <c r="T96">
        <v>349307.58999999997</v>
      </c>
      <c r="U96">
        <v>325434.16000000003</v>
      </c>
    </row>
    <row r="97" spans="1:21" x14ac:dyDescent="0.25">
      <c r="A97">
        <v>92</v>
      </c>
      <c r="B97">
        <v>309425.09999999998</v>
      </c>
      <c r="C97">
        <v>312351.59999999998</v>
      </c>
      <c r="D97">
        <v>2.55576E-2</v>
      </c>
      <c r="E97">
        <v>92</v>
      </c>
      <c r="F97">
        <v>309055.90000000002</v>
      </c>
      <c r="G97">
        <v>311984.90000000002</v>
      </c>
      <c r="H97">
        <v>2.55576E-2</v>
      </c>
      <c r="I97">
        <v>92</v>
      </c>
      <c r="J97">
        <v>309036.7</v>
      </c>
      <c r="K97">
        <v>311966.40000000002</v>
      </c>
      <c r="L97">
        <v>2.55576E-2</v>
      </c>
      <c r="M97">
        <v>92</v>
      </c>
      <c r="N97">
        <v>308574.2</v>
      </c>
      <c r="O97">
        <v>311507.8</v>
      </c>
      <c r="P97">
        <v>2.55576E-2</v>
      </c>
      <c r="R97">
        <v>338505.5</v>
      </c>
      <c r="S97">
        <v>306002.3</v>
      </c>
      <c r="T97">
        <v>347245.038</v>
      </c>
      <c r="U97">
        <v>322430.7</v>
      </c>
    </row>
    <row r="98" spans="1:21" x14ac:dyDescent="0.25">
      <c r="A98">
        <v>93</v>
      </c>
      <c r="B98">
        <v>307736.3</v>
      </c>
      <c r="C98">
        <v>310061.2</v>
      </c>
      <c r="D98">
        <v>2.5835400000000001E-2</v>
      </c>
      <c r="E98">
        <v>93</v>
      </c>
      <c r="F98">
        <v>307427.5</v>
      </c>
      <c r="G98">
        <v>309753.90000000002</v>
      </c>
      <c r="H98">
        <v>2.5835400000000001E-2</v>
      </c>
      <c r="I98">
        <v>93</v>
      </c>
      <c r="J98">
        <v>307265.90000000002</v>
      </c>
      <c r="K98">
        <v>309593.7</v>
      </c>
      <c r="L98">
        <v>2.5835400000000001E-2</v>
      </c>
      <c r="M98">
        <v>93</v>
      </c>
      <c r="N98">
        <v>306904.59999999998</v>
      </c>
      <c r="O98">
        <v>309234.90000000002</v>
      </c>
      <c r="P98">
        <v>2.5835400000000001E-2</v>
      </c>
      <c r="R98">
        <v>336405.2</v>
      </c>
      <c r="S98">
        <v>303007.40000000002</v>
      </c>
      <c r="T98">
        <v>343823.36900000001</v>
      </c>
      <c r="U98">
        <v>319636.75</v>
      </c>
    </row>
    <row r="99" spans="1:21" x14ac:dyDescent="0.25">
      <c r="A99">
        <v>94</v>
      </c>
      <c r="B99">
        <v>306034</v>
      </c>
      <c r="C99">
        <v>307767.90000000002</v>
      </c>
      <c r="D99">
        <v>2.61132E-2</v>
      </c>
      <c r="E99">
        <v>94</v>
      </c>
      <c r="F99">
        <v>305816.2</v>
      </c>
      <c r="G99">
        <v>307550.59999999998</v>
      </c>
      <c r="H99">
        <v>2.61132E-2</v>
      </c>
      <c r="I99">
        <v>94</v>
      </c>
      <c r="J99">
        <v>305481.40000000002</v>
      </c>
      <c r="K99">
        <v>307217.7</v>
      </c>
      <c r="L99">
        <v>2.61132E-2</v>
      </c>
      <c r="M99">
        <v>94</v>
      </c>
      <c r="N99">
        <v>305231.7</v>
      </c>
      <c r="O99">
        <v>306969.40000000002</v>
      </c>
      <c r="P99">
        <v>2.61132E-2</v>
      </c>
      <c r="R99">
        <v>332502.8</v>
      </c>
      <c r="S99">
        <v>301789.59999999998</v>
      </c>
      <c r="T99">
        <v>339149.53499999997</v>
      </c>
      <c r="U99">
        <v>317274.13999999996</v>
      </c>
    </row>
    <row r="100" spans="1:21" x14ac:dyDescent="0.25">
      <c r="A100">
        <v>95</v>
      </c>
      <c r="B100">
        <v>304452.09999999998</v>
      </c>
      <c r="C100">
        <v>305664.2</v>
      </c>
      <c r="D100">
        <v>2.6391000000000001E-2</v>
      </c>
      <c r="E100">
        <v>95</v>
      </c>
      <c r="F100">
        <v>304352.40000000002</v>
      </c>
      <c r="G100">
        <v>305564.40000000002</v>
      </c>
      <c r="H100">
        <v>2.6391000000000001E-2</v>
      </c>
      <c r="I100">
        <v>95</v>
      </c>
      <c r="J100">
        <v>303839.2</v>
      </c>
      <c r="K100">
        <v>305053.09999999998</v>
      </c>
      <c r="L100">
        <v>2.6391000000000001E-2</v>
      </c>
      <c r="M100">
        <v>95</v>
      </c>
      <c r="N100">
        <v>303700</v>
      </c>
      <c r="O100">
        <v>304914.5</v>
      </c>
      <c r="P100">
        <v>2.6391000000000001E-2</v>
      </c>
      <c r="R100">
        <v>328067</v>
      </c>
      <c r="S100">
        <v>302514</v>
      </c>
      <c r="T100">
        <v>333988.88500000001</v>
      </c>
      <c r="U100">
        <v>314956.90999999997</v>
      </c>
    </row>
    <row r="101" spans="1:21" x14ac:dyDescent="0.25">
      <c r="A101">
        <v>96</v>
      </c>
      <c r="B101">
        <v>303234.8</v>
      </c>
      <c r="C101">
        <v>304060.59999999998</v>
      </c>
      <c r="D101">
        <v>2.6668799999999999E-2</v>
      </c>
      <c r="E101">
        <v>96</v>
      </c>
      <c r="F101">
        <v>303266</v>
      </c>
      <c r="G101">
        <v>304091.2</v>
      </c>
      <c r="H101">
        <v>2.6668799999999999E-2</v>
      </c>
      <c r="I101">
        <v>96</v>
      </c>
      <c r="J101">
        <v>302606.2</v>
      </c>
      <c r="K101">
        <v>303433.09999999998</v>
      </c>
      <c r="L101">
        <v>2.6668799999999999E-2</v>
      </c>
      <c r="M101">
        <v>96</v>
      </c>
      <c r="N101">
        <v>302565.59999999998</v>
      </c>
      <c r="O101">
        <v>303392.8</v>
      </c>
      <c r="P101">
        <v>2.6668799999999999E-2</v>
      </c>
      <c r="R101">
        <v>323659.5</v>
      </c>
      <c r="S101">
        <v>302113.09999999998</v>
      </c>
      <c r="T101">
        <v>328480.58399999997</v>
      </c>
      <c r="U101">
        <v>311018.12699999998</v>
      </c>
    </row>
    <row r="102" spans="1:21" x14ac:dyDescent="0.25">
      <c r="A102">
        <v>97</v>
      </c>
      <c r="B102">
        <v>301942.5</v>
      </c>
      <c r="C102">
        <v>302415.09999999998</v>
      </c>
      <c r="D102">
        <v>2.6946600000000001E-2</v>
      </c>
      <c r="E102">
        <v>97</v>
      </c>
      <c r="F102">
        <v>302098.3</v>
      </c>
      <c r="G102">
        <v>302570.2</v>
      </c>
      <c r="H102">
        <v>2.6946600000000001E-2</v>
      </c>
      <c r="I102">
        <v>97</v>
      </c>
      <c r="J102">
        <v>301307.5</v>
      </c>
      <c r="K102">
        <v>301780.5</v>
      </c>
      <c r="L102">
        <v>2.6946600000000001E-2</v>
      </c>
      <c r="M102">
        <v>97</v>
      </c>
      <c r="N102">
        <v>301339.59999999998</v>
      </c>
      <c r="O102">
        <v>301812.7</v>
      </c>
      <c r="P102">
        <v>2.6946600000000001E-2</v>
      </c>
      <c r="R102">
        <v>318874.8</v>
      </c>
      <c r="S102">
        <v>298168.90000000002</v>
      </c>
      <c r="T102">
        <v>322151.89899999998</v>
      </c>
      <c r="U102">
        <v>304585.56600000005</v>
      </c>
    </row>
    <row r="103" spans="1:21" x14ac:dyDescent="0.25">
      <c r="A103">
        <v>98</v>
      </c>
      <c r="B103">
        <v>300733.90000000002</v>
      </c>
      <c r="C103">
        <v>300927.59999999998</v>
      </c>
      <c r="D103">
        <v>2.7224399999999999E-2</v>
      </c>
      <c r="E103">
        <v>98</v>
      </c>
      <c r="F103">
        <v>300991.09999999998</v>
      </c>
      <c r="G103">
        <v>301184.2</v>
      </c>
      <c r="H103">
        <v>2.7224399999999999E-2</v>
      </c>
      <c r="I103">
        <v>98</v>
      </c>
      <c r="J103">
        <v>300076.2</v>
      </c>
      <c r="K103">
        <v>300270</v>
      </c>
      <c r="L103">
        <v>2.7224399999999999E-2</v>
      </c>
      <c r="M103">
        <v>98</v>
      </c>
      <c r="N103">
        <v>300173.90000000002</v>
      </c>
      <c r="O103">
        <v>300367.7</v>
      </c>
      <c r="P103">
        <v>2.7224399999999999E-2</v>
      </c>
      <c r="R103">
        <v>318810.2</v>
      </c>
      <c r="S103">
        <v>293530.5</v>
      </c>
      <c r="T103">
        <v>320789.40100000001</v>
      </c>
      <c r="U103">
        <v>297907.98599999998</v>
      </c>
    </row>
    <row r="104" spans="1:21" x14ac:dyDescent="0.25">
      <c r="A104">
        <v>99</v>
      </c>
      <c r="B104">
        <v>299655</v>
      </c>
      <c r="C104">
        <v>299709.7</v>
      </c>
      <c r="D104">
        <v>2.7502200000000001E-2</v>
      </c>
      <c r="E104">
        <v>99</v>
      </c>
      <c r="F104">
        <v>300003.59999999998</v>
      </c>
      <c r="G104">
        <v>300057.90000000002</v>
      </c>
      <c r="H104">
        <v>2.7502200000000001E-2</v>
      </c>
      <c r="I104">
        <v>99</v>
      </c>
      <c r="J104">
        <v>298957.09999999998</v>
      </c>
      <c r="K104">
        <v>299011.59999999998</v>
      </c>
      <c r="L104">
        <v>2.7502200000000001E-2</v>
      </c>
      <c r="M104">
        <v>99</v>
      </c>
      <c r="N104">
        <v>299116.7</v>
      </c>
      <c r="O104">
        <v>299171.09999999998</v>
      </c>
      <c r="P104">
        <v>2.7502200000000001E-2</v>
      </c>
      <c r="R104">
        <v>320927.90000000002</v>
      </c>
      <c r="S104">
        <v>291428</v>
      </c>
      <c r="T104">
        <v>322280.17300000001</v>
      </c>
      <c r="U104">
        <v>294437.13699999999</v>
      </c>
    </row>
    <row r="105" spans="1:21" x14ac:dyDescent="0.25">
      <c r="A105">
        <v>100</v>
      </c>
      <c r="B105">
        <v>299270.59999999998</v>
      </c>
      <c r="C105">
        <v>299287.8</v>
      </c>
      <c r="D105">
        <v>2.7779999999999999E-2</v>
      </c>
      <c r="E105">
        <v>100</v>
      </c>
      <c r="F105">
        <v>299692</v>
      </c>
      <c r="G105">
        <v>299709</v>
      </c>
      <c r="H105">
        <v>2.7779999999999999E-2</v>
      </c>
      <c r="I105">
        <v>100</v>
      </c>
      <c r="J105">
        <v>298587.09999999998</v>
      </c>
      <c r="K105">
        <v>298604</v>
      </c>
      <c r="L105">
        <v>2.7779999999999999E-2</v>
      </c>
      <c r="M105">
        <v>100</v>
      </c>
      <c r="N105">
        <v>298793.8</v>
      </c>
      <c r="O105">
        <v>298810.59999999998</v>
      </c>
      <c r="P105">
        <v>2.7779999999999999E-2</v>
      </c>
      <c r="R105">
        <v>321825.3</v>
      </c>
      <c r="S105">
        <v>292882.8</v>
      </c>
      <c r="T105">
        <v>322784.04930000001</v>
      </c>
      <c r="U105">
        <v>295531.55499999999</v>
      </c>
    </row>
    <row r="106" spans="1:21" x14ac:dyDescent="0.25">
      <c r="A106">
        <v>101</v>
      </c>
      <c r="B106">
        <v>299369.90000000002</v>
      </c>
      <c r="C106">
        <v>299372.3</v>
      </c>
      <c r="D106">
        <v>2.8057800000000001E-2</v>
      </c>
      <c r="E106">
        <v>101</v>
      </c>
      <c r="F106">
        <v>299840.40000000002</v>
      </c>
      <c r="G106">
        <v>299842.90000000002</v>
      </c>
      <c r="H106">
        <v>2.8057800000000001E-2</v>
      </c>
      <c r="I106">
        <v>101</v>
      </c>
      <c r="J106">
        <v>298714.8</v>
      </c>
      <c r="K106">
        <v>298717.2</v>
      </c>
      <c r="L106">
        <v>2.8057800000000001E-2</v>
      </c>
      <c r="M106">
        <v>101</v>
      </c>
      <c r="N106">
        <v>298959.2</v>
      </c>
      <c r="O106">
        <v>298961.40000000002</v>
      </c>
      <c r="P106">
        <v>2.8057800000000001E-2</v>
      </c>
      <c r="R106">
        <v>322852.8</v>
      </c>
      <c r="S106">
        <v>297021.8</v>
      </c>
      <c r="T106">
        <v>323604.72440000001</v>
      </c>
      <c r="U106">
        <v>299541.902</v>
      </c>
    </row>
    <row r="107" spans="1:21" x14ac:dyDescent="0.25">
      <c r="A107">
        <v>102</v>
      </c>
      <c r="B107">
        <v>299364.3</v>
      </c>
      <c r="C107">
        <v>299365.09999999998</v>
      </c>
      <c r="D107">
        <v>2.8335599999999999E-2</v>
      </c>
      <c r="E107">
        <v>102</v>
      </c>
      <c r="F107">
        <v>299879.90000000002</v>
      </c>
      <c r="G107">
        <v>299880.90000000002</v>
      </c>
      <c r="H107">
        <v>2.8335599999999999E-2</v>
      </c>
      <c r="I107">
        <v>102</v>
      </c>
      <c r="J107">
        <v>298716</v>
      </c>
      <c r="K107">
        <v>298717</v>
      </c>
      <c r="L107">
        <v>2.8335599999999999E-2</v>
      </c>
      <c r="M107">
        <v>102</v>
      </c>
      <c r="N107">
        <v>298996.8</v>
      </c>
      <c r="O107">
        <v>298997.7</v>
      </c>
      <c r="P107">
        <v>2.8335599999999999E-2</v>
      </c>
      <c r="R107">
        <v>324182.09999999998</v>
      </c>
      <c r="S107">
        <v>300206.3</v>
      </c>
      <c r="T107">
        <v>324783.7206</v>
      </c>
      <c r="U107">
        <v>302224.81599999999</v>
      </c>
    </row>
    <row r="108" spans="1:21" x14ac:dyDescent="0.25">
      <c r="A108">
        <v>103</v>
      </c>
      <c r="B108">
        <v>299358.59999999998</v>
      </c>
      <c r="C108">
        <v>299358.8</v>
      </c>
      <c r="D108">
        <v>2.8613400000000001E-2</v>
      </c>
      <c r="E108">
        <v>103</v>
      </c>
      <c r="F108">
        <v>299918.7</v>
      </c>
      <c r="G108">
        <v>299919.2</v>
      </c>
      <c r="H108">
        <v>2.8613400000000001E-2</v>
      </c>
      <c r="I108">
        <v>103</v>
      </c>
      <c r="J108">
        <v>298722.8</v>
      </c>
      <c r="K108">
        <v>298723.40000000002</v>
      </c>
      <c r="L108">
        <v>2.8613400000000001E-2</v>
      </c>
      <c r="M108">
        <v>103</v>
      </c>
      <c r="N108">
        <v>299034.09999999998</v>
      </c>
      <c r="O108">
        <v>299034.7</v>
      </c>
      <c r="P108">
        <v>2.8613400000000001E-2</v>
      </c>
      <c r="R108">
        <v>325983.09999999998</v>
      </c>
      <c r="S108">
        <v>301237.90000000002</v>
      </c>
      <c r="T108">
        <v>326422.77779999998</v>
      </c>
      <c r="U108">
        <v>302825.02500000002</v>
      </c>
    </row>
    <row r="109" spans="1:21" x14ac:dyDescent="0.25">
      <c r="A109">
        <v>104</v>
      </c>
      <c r="B109">
        <v>299347.09999999998</v>
      </c>
      <c r="C109">
        <v>299347.20000000001</v>
      </c>
      <c r="D109">
        <v>2.8891199999999999E-2</v>
      </c>
      <c r="E109">
        <v>104</v>
      </c>
      <c r="F109">
        <v>299951.7</v>
      </c>
      <c r="G109">
        <v>299952</v>
      </c>
      <c r="H109">
        <v>2.8891199999999999E-2</v>
      </c>
      <c r="I109">
        <v>104</v>
      </c>
      <c r="J109">
        <v>298731.09999999998</v>
      </c>
      <c r="K109">
        <v>298731.59999999998</v>
      </c>
      <c r="L109">
        <v>2.8891199999999999E-2</v>
      </c>
      <c r="M109">
        <v>104</v>
      </c>
      <c r="N109">
        <v>299068.7</v>
      </c>
      <c r="O109">
        <v>299069</v>
      </c>
      <c r="P109">
        <v>2.8891199999999999E-2</v>
      </c>
      <c r="R109">
        <v>327581.09999999998</v>
      </c>
      <c r="S109">
        <v>301438.8</v>
      </c>
      <c r="T109">
        <v>327841.11339999997</v>
      </c>
      <c r="U109">
        <v>302750.49099999998</v>
      </c>
    </row>
    <row r="110" spans="1:21" x14ac:dyDescent="0.25">
      <c r="A110">
        <v>105</v>
      </c>
      <c r="B110">
        <v>299327.5</v>
      </c>
      <c r="C110">
        <v>299327.90000000002</v>
      </c>
      <c r="D110">
        <v>2.9169E-2</v>
      </c>
      <c r="E110">
        <v>105</v>
      </c>
      <c r="F110">
        <v>299974.59999999998</v>
      </c>
      <c r="G110">
        <v>299975</v>
      </c>
      <c r="H110">
        <v>2.9169E-2</v>
      </c>
      <c r="I110">
        <v>105</v>
      </c>
      <c r="J110">
        <v>298731.8</v>
      </c>
      <c r="K110">
        <v>298732.5</v>
      </c>
      <c r="L110">
        <v>2.9169E-2</v>
      </c>
      <c r="M110">
        <v>105</v>
      </c>
      <c r="N110">
        <v>299094.8</v>
      </c>
      <c r="O110">
        <v>299095</v>
      </c>
      <c r="P110">
        <v>2.9169E-2</v>
      </c>
      <c r="R110">
        <v>328210.5</v>
      </c>
      <c r="S110">
        <v>301502.7</v>
      </c>
      <c r="T110">
        <v>328363.24410000001</v>
      </c>
      <c r="U110">
        <v>302601.98200000002</v>
      </c>
    </row>
    <row r="111" spans="1:21" x14ac:dyDescent="0.25">
      <c r="A111">
        <v>106</v>
      </c>
      <c r="B111">
        <v>299300.7</v>
      </c>
      <c r="C111">
        <v>299301.5</v>
      </c>
      <c r="D111">
        <v>2.9446799999999999E-2</v>
      </c>
      <c r="E111">
        <v>106</v>
      </c>
      <c r="F111">
        <v>299986.3</v>
      </c>
      <c r="G111">
        <v>299986.90000000002</v>
      </c>
      <c r="H111">
        <v>2.9446799999999999E-2</v>
      </c>
      <c r="I111">
        <v>106</v>
      </c>
      <c r="J111">
        <v>298722.2</v>
      </c>
      <c r="K111">
        <v>298723.59999999998</v>
      </c>
      <c r="L111">
        <v>2.9446799999999999E-2</v>
      </c>
      <c r="M111">
        <v>106</v>
      </c>
      <c r="N111">
        <v>299108.90000000002</v>
      </c>
      <c r="O111">
        <v>299109.5</v>
      </c>
      <c r="P111">
        <v>2.9446799999999999E-2</v>
      </c>
      <c r="R111">
        <v>327865.90000000002</v>
      </c>
      <c r="S111">
        <v>301602.09999999998</v>
      </c>
      <c r="T111">
        <v>328007.0906</v>
      </c>
      <c r="U111">
        <v>302536.92869999999</v>
      </c>
    </row>
    <row r="112" spans="1:21" x14ac:dyDescent="0.25">
      <c r="A112">
        <v>107</v>
      </c>
      <c r="B112">
        <v>299268.2</v>
      </c>
      <c r="C112">
        <v>299269.5</v>
      </c>
      <c r="D112">
        <v>2.97246E-2</v>
      </c>
      <c r="E112">
        <v>107</v>
      </c>
      <c r="F112">
        <v>299987.59999999998</v>
      </c>
      <c r="G112">
        <v>299988.5</v>
      </c>
      <c r="H112">
        <v>2.97246E-2</v>
      </c>
      <c r="I112">
        <v>107</v>
      </c>
      <c r="J112">
        <v>298703.3</v>
      </c>
      <c r="K112">
        <v>298705.59999999998</v>
      </c>
      <c r="L112">
        <v>2.97246E-2</v>
      </c>
      <c r="M112">
        <v>107</v>
      </c>
      <c r="N112">
        <v>299111.40000000002</v>
      </c>
      <c r="O112">
        <v>299112.5</v>
      </c>
      <c r="P112">
        <v>2.97246E-2</v>
      </c>
      <c r="R112">
        <v>326858.59999999998</v>
      </c>
      <c r="S112">
        <v>301585.40000000002</v>
      </c>
      <c r="T112">
        <v>327016.73</v>
      </c>
      <c r="U112">
        <v>302441.97270000004</v>
      </c>
    </row>
    <row r="113" spans="1:21" x14ac:dyDescent="0.25">
      <c r="A113">
        <v>108</v>
      </c>
      <c r="B113">
        <v>299231.3</v>
      </c>
      <c r="C113">
        <v>299233.2</v>
      </c>
      <c r="D113">
        <v>3.0002399999999999E-2</v>
      </c>
      <c r="E113">
        <v>108</v>
      </c>
      <c r="F113">
        <v>299979.3</v>
      </c>
      <c r="G113">
        <v>299980.5</v>
      </c>
      <c r="H113">
        <v>3.0002399999999999E-2</v>
      </c>
      <c r="I113">
        <v>108</v>
      </c>
      <c r="J113">
        <v>298677.2</v>
      </c>
      <c r="K113">
        <v>298680.5</v>
      </c>
      <c r="L113">
        <v>3.0002399999999999E-2</v>
      </c>
      <c r="M113">
        <v>108</v>
      </c>
      <c r="N113">
        <v>299103.8</v>
      </c>
      <c r="O113">
        <v>299105.59999999998</v>
      </c>
      <c r="P113">
        <v>3.0002399999999999E-2</v>
      </c>
      <c r="R113">
        <v>325655.09999999998</v>
      </c>
      <c r="S113">
        <v>301293.90000000002</v>
      </c>
      <c r="T113">
        <v>325805.34949999995</v>
      </c>
      <c r="U113">
        <v>302095.5318</v>
      </c>
    </row>
    <row r="114" spans="1:21" x14ac:dyDescent="0.25">
      <c r="A114">
        <v>109</v>
      </c>
      <c r="B114">
        <v>299190.59999999998</v>
      </c>
      <c r="C114">
        <v>299193</v>
      </c>
      <c r="D114">
        <v>3.02802E-2</v>
      </c>
      <c r="E114">
        <v>109</v>
      </c>
      <c r="F114">
        <v>299962.09999999998</v>
      </c>
      <c r="G114">
        <v>299963.7</v>
      </c>
      <c r="H114">
        <v>3.02802E-2</v>
      </c>
      <c r="I114">
        <v>109</v>
      </c>
      <c r="J114">
        <v>298646.09999999998</v>
      </c>
      <c r="K114">
        <v>298650.7</v>
      </c>
      <c r="L114">
        <v>3.02802E-2</v>
      </c>
      <c r="M114">
        <v>109</v>
      </c>
      <c r="N114">
        <v>299087.7</v>
      </c>
      <c r="O114">
        <v>299090.40000000002</v>
      </c>
      <c r="P114">
        <v>3.02802E-2</v>
      </c>
      <c r="R114">
        <v>324588.09999999998</v>
      </c>
      <c r="S114">
        <v>300756.40000000002</v>
      </c>
      <c r="T114">
        <v>324713.01309999998</v>
      </c>
      <c r="U114">
        <v>301468.4277</v>
      </c>
    </row>
    <row r="115" spans="1:21" x14ac:dyDescent="0.25">
      <c r="A115">
        <v>110</v>
      </c>
      <c r="B115">
        <v>299147.8</v>
      </c>
      <c r="C115">
        <v>299150.8</v>
      </c>
      <c r="D115">
        <v>3.0557999999999998E-2</v>
      </c>
      <c r="E115">
        <v>110</v>
      </c>
      <c r="F115">
        <v>299937.40000000002</v>
      </c>
      <c r="G115">
        <v>299939.59999999998</v>
      </c>
      <c r="H115">
        <v>3.0557999999999998E-2</v>
      </c>
      <c r="I115">
        <v>110</v>
      </c>
      <c r="J115">
        <v>298612.2</v>
      </c>
      <c r="K115">
        <v>298618.2</v>
      </c>
      <c r="L115">
        <v>3.0557999999999998E-2</v>
      </c>
      <c r="M115">
        <v>110</v>
      </c>
      <c r="N115">
        <v>299064.3</v>
      </c>
      <c r="O115">
        <v>299068.09999999998</v>
      </c>
      <c r="P115">
        <v>3.0557999999999998E-2</v>
      </c>
      <c r="R115">
        <v>323710.59999999998</v>
      </c>
      <c r="S115">
        <v>300136</v>
      </c>
      <c r="T115">
        <v>323806.83512999996</v>
      </c>
      <c r="U115">
        <v>300766.5992</v>
      </c>
    </row>
    <row r="116" spans="1:21" x14ac:dyDescent="0.25">
      <c r="A116">
        <v>111</v>
      </c>
      <c r="B116">
        <v>299104.40000000002</v>
      </c>
      <c r="C116">
        <v>299108.09999999998</v>
      </c>
      <c r="D116">
        <v>3.08358E-2</v>
      </c>
      <c r="E116">
        <v>111</v>
      </c>
      <c r="F116">
        <v>299907</v>
      </c>
      <c r="G116">
        <v>299909.8</v>
      </c>
      <c r="H116">
        <v>3.08358E-2</v>
      </c>
      <c r="I116">
        <v>111</v>
      </c>
      <c r="J116">
        <v>298577.40000000002</v>
      </c>
      <c r="K116">
        <v>298584.8</v>
      </c>
      <c r="L116">
        <v>3.08358E-2</v>
      </c>
      <c r="M116">
        <v>111</v>
      </c>
      <c r="N116">
        <v>299035.2</v>
      </c>
      <c r="O116">
        <v>299040.09999999998</v>
      </c>
      <c r="P116">
        <v>3.08358E-2</v>
      </c>
      <c r="R116">
        <v>323026.8</v>
      </c>
      <c r="S116">
        <v>299358.3</v>
      </c>
      <c r="T116">
        <v>323097.39893999998</v>
      </c>
      <c r="U116">
        <v>299916.59460000001</v>
      </c>
    </row>
    <row r="117" spans="1:21" x14ac:dyDescent="0.25">
      <c r="A117">
        <v>112</v>
      </c>
      <c r="B117">
        <v>299061.5</v>
      </c>
      <c r="C117">
        <v>299065.90000000002</v>
      </c>
      <c r="D117">
        <v>3.1113600000000002E-2</v>
      </c>
      <c r="E117">
        <v>112</v>
      </c>
      <c r="F117">
        <v>299872.40000000002</v>
      </c>
      <c r="G117">
        <v>299875.8</v>
      </c>
      <c r="H117">
        <v>3.1113600000000002E-2</v>
      </c>
      <c r="I117">
        <v>112</v>
      </c>
      <c r="J117">
        <v>298542.8</v>
      </c>
      <c r="K117">
        <v>298551.7</v>
      </c>
      <c r="L117">
        <v>3.1113600000000002E-2</v>
      </c>
      <c r="M117">
        <v>112</v>
      </c>
      <c r="N117">
        <v>299001.59999999998</v>
      </c>
      <c r="O117">
        <v>299007.7</v>
      </c>
      <c r="P117">
        <v>3.1113600000000002E-2</v>
      </c>
      <c r="R117">
        <v>322545.09999999998</v>
      </c>
      <c r="S117">
        <v>298343.2</v>
      </c>
      <c r="T117">
        <v>322594.88078999997</v>
      </c>
      <c r="U117">
        <v>298863.92840000003</v>
      </c>
    </row>
    <row r="118" spans="1:21" x14ac:dyDescent="0.25">
      <c r="A118">
        <v>113</v>
      </c>
      <c r="B118">
        <v>299019.7</v>
      </c>
      <c r="C118">
        <v>299024.8</v>
      </c>
      <c r="D118">
        <v>3.13914E-2</v>
      </c>
      <c r="E118">
        <v>113</v>
      </c>
      <c r="F118">
        <v>299834.59999999998</v>
      </c>
      <c r="G118">
        <v>299838.8</v>
      </c>
      <c r="H118">
        <v>3.13914E-2</v>
      </c>
      <c r="I118">
        <v>113</v>
      </c>
      <c r="J118">
        <v>298509.2</v>
      </c>
      <c r="K118">
        <v>298519.5</v>
      </c>
      <c r="L118">
        <v>3.13914E-2</v>
      </c>
      <c r="M118">
        <v>113</v>
      </c>
      <c r="N118">
        <v>298964.7</v>
      </c>
      <c r="O118">
        <v>298971.90000000002</v>
      </c>
      <c r="P118">
        <v>3.13914E-2</v>
      </c>
      <c r="R118">
        <v>322251.5</v>
      </c>
      <c r="S118">
        <v>297140.40000000002</v>
      </c>
      <c r="T118">
        <v>322285.05031999998</v>
      </c>
      <c r="U118">
        <v>297679.77240000002</v>
      </c>
    </row>
    <row r="119" spans="1:21" x14ac:dyDescent="0.25">
      <c r="A119">
        <v>114</v>
      </c>
      <c r="B119">
        <v>298979.7</v>
      </c>
      <c r="C119">
        <v>298985.2</v>
      </c>
      <c r="D119">
        <v>3.1669200000000002E-2</v>
      </c>
      <c r="E119">
        <v>114</v>
      </c>
      <c r="F119">
        <v>299794.7</v>
      </c>
      <c r="G119">
        <v>299799.40000000002</v>
      </c>
      <c r="H119">
        <v>3.1669200000000002E-2</v>
      </c>
      <c r="I119">
        <v>114</v>
      </c>
      <c r="J119">
        <v>298477</v>
      </c>
      <c r="K119">
        <v>298488.59999999998</v>
      </c>
      <c r="L119">
        <v>3.1669200000000002E-2</v>
      </c>
      <c r="M119">
        <v>114</v>
      </c>
      <c r="N119">
        <v>298925.2</v>
      </c>
      <c r="O119">
        <v>298933.59999999998</v>
      </c>
      <c r="P119">
        <v>3.1669200000000002E-2</v>
      </c>
      <c r="R119">
        <v>322080.90000000002</v>
      </c>
      <c r="S119">
        <v>295903.2</v>
      </c>
      <c r="T119">
        <v>322103.69381000003</v>
      </c>
      <c r="U119">
        <v>296517.66620000004</v>
      </c>
    </row>
    <row r="120" spans="1:21" x14ac:dyDescent="0.25">
      <c r="A120">
        <v>115</v>
      </c>
      <c r="B120">
        <v>298941.7</v>
      </c>
      <c r="C120">
        <v>298947.7</v>
      </c>
      <c r="D120">
        <v>3.1947000000000003E-2</v>
      </c>
      <c r="E120">
        <v>115</v>
      </c>
      <c r="F120">
        <v>299753.2</v>
      </c>
      <c r="G120">
        <v>299758.3</v>
      </c>
      <c r="H120">
        <v>3.1947000000000003E-2</v>
      </c>
      <c r="I120">
        <v>115</v>
      </c>
      <c r="J120">
        <v>298446</v>
      </c>
      <c r="K120">
        <v>298458.8</v>
      </c>
      <c r="L120">
        <v>3.1947000000000003E-2</v>
      </c>
      <c r="M120">
        <v>115</v>
      </c>
      <c r="N120">
        <v>298884.2</v>
      </c>
      <c r="O120">
        <v>298893.59999999998</v>
      </c>
      <c r="P120">
        <v>3.1947000000000003E-2</v>
      </c>
      <c r="R120">
        <v>321933.40000000002</v>
      </c>
      <c r="S120">
        <v>294810.8</v>
      </c>
      <c r="T120">
        <v>321955.53213000001</v>
      </c>
      <c r="U120">
        <v>295531.95419999998</v>
      </c>
    </row>
    <row r="121" spans="1:21" x14ac:dyDescent="0.25">
      <c r="A121">
        <v>116</v>
      </c>
      <c r="B121">
        <v>298905.90000000002</v>
      </c>
      <c r="C121">
        <v>298912.2</v>
      </c>
      <c r="D121">
        <v>3.2224799999999998E-2</v>
      </c>
      <c r="E121">
        <v>116</v>
      </c>
      <c r="F121">
        <v>299710.59999999998</v>
      </c>
      <c r="G121">
        <v>299716.2</v>
      </c>
      <c r="H121">
        <v>3.2224799999999998E-2</v>
      </c>
      <c r="I121">
        <v>116</v>
      </c>
      <c r="J121">
        <v>298416</v>
      </c>
      <c r="K121">
        <v>298430.09999999998</v>
      </c>
      <c r="L121">
        <v>3.2224799999999998E-2</v>
      </c>
      <c r="M121">
        <v>116</v>
      </c>
      <c r="N121">
        <v>298842</v>
      </c>
      <c r="O121">
        <v>298852.5</v>
      </c>
      <c r="P121">
        <v>3.2224799999999998E-2</v>
      </c>
      <c r="R121">
        <v>321661.3</v>
      </c>
      <c r="S121">
        <v>294095.5</v>
      </c>
      <c r="T121">
        <v>321699.74976999999</v>
      </c>
      <c r="U121">
        <v>294902.16090000002</v>
      </c>
    </row>
    <row r="122" spans="1:21" x14ac:dyDescent="0.25">
      <c r="A122">
        <v>117</v>
      </c>
      <c r="B122">
        <v>298872.8</v>
      </c>
      <c r="C122">
        <v>298879.2</v>
      </c>
      <c r="D122">
        <v>3.25026E-2</v>
      </c>
      <c r="E122">
        <v>117</v>
      </c>
      <c r="F122">
        <v>299667.40000000002</v>
      </c>
      <c r="G122">
        <v>299673.2</v>
      </c>
      <c r="H122">
        <v>3.25026E-2</v>
      </c>
      <c r="I122">
        <v>117</v>
      </c>
      <c r="J122">
        <v>298386.7</v>
      </c>
      <c r="K122">
        <v>298402</v>
      </c>
      <c r="L122">
        <v>3.25026E-2</v>
      </c>
      <c r="M122">
        <v>117</v>
      </c>
      <c r="N122">
        <v>298799.2</v>
      </c>
      <c r="O122">
        <v>298810.59999999998</v>
      </c>
      <c r="P122">
        <v>3.25026E-2</v>
      </c>
      <c r="R122">
        <v>321088.2</v>
      </c>
      <c r="S122">
        <v>293833.2</v>
      </c>
      <c r="T122">
        <v>321151.24342000001</v>
      </c>
      <c r="U122">
        <v>294618.79009999998</v>
      </c>
    </row>
    <row r="123" spans="1:21" x14ac:dyDescent="0.25">
      <c r="A123">
        <v>118</v>
      </c>
      <c r="B123">
        <v>298842.90000000002</v>
      </c>
      <c r="C123">
        <v>298849.40000000002</v>
      </c>
      <c r="D123">
        <v>3.2780400000000001E-2</v>
      </c>
      <c r="E123">
        <v>118</v>
      </c>
      <c r="F123">
        <v>299623.90000000002</v>
      </c>
      <c r="G123">
        <v>299629.90000000002</v>
      </c>
      <c r="H123">
        <v>3.2780400000000001E-2</v>
      </c>
      <c r="I123">
        <v>118</v>
      </c>
      <c r="J123">
        <v>298357.8</v>
      </c>
      <c r="K123">
        <v>298374.2</v>
      </c>
      <c r="L123">
        <v>3.2780400000000001E-2</v>
      </c>
      <c r="M123">
        <v>118</v>
      </c>
      <c r="N123">
        <v>298756.09999999998</v>
      </c>
      <c r="O123">
        <v>298768.3</v>
      </c>
      <c r="P123">
        <v>3.2780400000000001E-2</v>
      </c>
      <c r="R123">
        <v>320213.59999999998</v>
      </c>
      <c r="S123">
        <v>293854.90000000002</v>
      </c>
      <c r="T123">
        <v>320288.00562999997</v>
      </c>
      <c r="U123">
        <v>294472.71300000005</v>
      </c>
    </row>
    <row r="124" spans="1:21" x14ac:dyDescent="0.25">
      <c r="A124">
        <v>119</v>
      </c>
      <c r="B124">
        <v>298817.40000000002</v>
      </c>
      <c r="C124">
        <v>298824</v>
      </c>
      <c r="D124">
        <v>3.3058200000000003E-2</v>
      </c>
      <c r="E124">
        <v>119</v>
      </c>
      <c r="F124">
        <v>299580.09999999998</v>
      </c>
      <c r="G124">
        <v>299586.2</v>
      </c>
      <c r="H124">
        <v>3.3058200000000003E-2</v>
      </c>
      <c r="I124">
        <v>119</v>
      </c>
      <c r="J124">
        <v>298328.8</v>
      </c>
      <c r="K124">
        <v>298346.3</v>
      </c>
      <c r="L124">
        <v>3.3058200000000003E-2</v>
      </c>
      <c r="M124">
        <v>119</v>
      </c>
      <c r="N124">
        <v>298713.2</v>
      </c>
      <c r="O124">
        <v>298726.09999999998</v>
      </c>
      <c r="P124">
        <v>3.3058200000000003E-2</v>
      </c>
      <c r="R124">
        <v>319382</v>
      </c>
      <c r="S124">
        <v>293984.09999999998</v>
      </c>
      <c r="T124">
        <v>319445.29608</v>
      </c>
      <c r="U124">
        <v>294347.69879999995</v>
      </c>
    </row>
    <row r="125" spans="1:21" x14ac:dyDescent="0.25">
      <c r="A125">
        <v>120</v>
      </c>
      <c r="B125">
        <v>298798.09999999998</v>
      </c>
      <c r="C125">
        <v>298804.7</v>
      </c>
      <c r="D125">
        <v>3.3335999999999998E-2</v>
      </c>
      <c r="E125">
        <v>120</v>
      </c>
      <c r="F125">
        <v>299536</v>
      </c>
      <c r="G125">
        <v>299542.2</v>
      </c>
      <c r="H125">
        <v>3.3335999999999998E-2</v>
      </c>
      <c r="I125">
        <v>120</v>
      </c>
      <c r="J125">
        <v>298299.59999999998</v>
      </c>
      <c r="K125">
        <v>298318.2</v>
      </c>
      <c r="L125">
        <v>3.3335999999999998E-2</v>
      </c>
      <c r="M125">
        <v>120</v>
      </c>
      <c r="N125">
        <v>298670.7</v>
      </c>
      <c r="O125">
        <v>298684.2</v>
      </c>
      <c r="P125">
        <v>3.3335999999999998E-2</v>
      </c>
      <c r="R125">
        <v>318887.40000000002</v>
      </c>
      <c r="S125">
        <v>294147.5</v>
      </c>
      <c r="T125">
        <v>318930.03058000002</v>
      </c>
      <c r="U125">
        <v>294283.0772</v>
      </c>
    </row>
    <row r="126" spans="1:21" x14ac:dyDescent="0.25">
      <c r="A126">
        <v>121</v>
      </c>
      <c r="B126">
        <v>298788.09999999998</v>
      </c>
      <c r="C126">
        <v>298794.59999999998</v>
      </c>
      <c r="D126">
        <v>3.3613799999999999E-2</v>
      </c>
      <c r="E126">
        <v>121</v>
      </c>
      <c r="F126">
        <v>299491.20000000001</v>
      </c>
      <c r="G126">
        <v>299497.40000000002</v>
      </c>
      <c r="H126">
        <v>3.3613799999999999E-2</v>
      </c>
      <c r="I126">
        <v>121</v>
      </c>
      <c r="J126">
        <v>298269.8</v>
      </c>
      <c r="K126">
        <v>298289.3</v>
      </c>
      <c r="L126">
        <v>3.3613799999999999E-2</v>
      </c>
      <c r="M126">
        <v>121</v>
      </c>
      <c r="N126">
        <v>298628.59999999998</v>
      </c>
      <c r="O126">
        <v>298642.59999999998</v>
      </c>
      <c r="P126">
        <v>3.3613799999999999E-2</v>
      </c>
      <c r="R126">
        <v>318627.90000000002</v>
      </c>
      <c r="S126">
        <v>294316.79999999999</v>
      </c>
      <c r="T126">
        <v>318656.28552000003</v>
      </c>
      <c r="U126">
        <v>294350.30170000001</v>
      </c>
    </row>
    <row r="127" spans="1:21" x14ac:dyDescent="0.25">
      <c r="A127">
        <v>122</v>
      </c>
      <c r="B127">
        <v>298792.7</v>
      </c>
      <c r="C127">
        <v>298799.3</v>
      </c>
      <c r="D127">
        <v>3.3891600000000001E-2</v>
      </c>
      <c r="E127">
        <v>122</v>
      </c>
      <c r="F127">
        <v>299445.09999999998</v>
      </c>
      <c r="G127">
        <v>299451.3</v>
      </c>
      <c r="H127">
        <v>3.3891600000000001E-2</v>
      </c>
      <c r="I127">
        <v>122</v>
      </c>
      <c r="J127">
        <v>298239.40000000002</v>
      </c>
      <c r="K127">
        <v>298259.8</v>
      </c>
      <c r="L127">
        <v>3.3891600000000001E-2</v>
      </c>
      <c r="M127">
        <v>122</v>
      </c>
      <c r="N127">
        <v>298587</v>
      </c>
      <c r="O127">
        <v>298601.40000000002</v>
      </c>
      <c r="P127">
        <v>3.3891600000000001E-2</v>
      </c>
      <c r="R127">
        <v>318585.7</v>
      </c>
      <c r="S127">
        <v>294419.5</v>
      </c>
      <c r="T127">
        <v>318616.95245000004</v>
      </c>
      <c r="U127">
        <v>294518.37761000003</v>
      </c>
    </row>
    <row r="128" spans="1:21" x14ac:dyDescent="0.25">
      <c r="A128">
        <v>123</v>
      </c>
      <c r="B128">
        <v>298819.40000000002</v>
      </c>
      <c r="C128">
        <v>298826.2</v>
      </c>
      <c r="D128">
        <v>3.4169400000000003E-2</v>
      </c>
      <c r="E128">
        <v>123</v>
      </c>
      <c r="F128">
        <v>299396.90000000002</v>
      </c>
      <c r="G128">
        <v>299403.2</v>
      </c>
      <c r="H128">
        <v>3.4169400000000003E-2</v>
      </c>
      <c r="I128">
        <v>123</v>
      </c>
      <c r="J128">
        <v>298208.40000000002</v>
      </c>
      <c r="K128">
        <v>298229.40000000002</v>
      </c>
      <c r="L128">
        <v>3.4169400000000003E-2</v>
      </c>
      <c r="M128">
        <v>123</v>
      </c>
      <c r="N128">
        <v>298545.8</v>
      </c>
      <c r="O128">
        <v>298560.59999999998</v>
      </c>
      <c r="P128">
        <v>3.4169400000000003E-2</v>
      </c>
      <c r="R128">
        <v>318758.09999999998</v>
      </c>
      <c r="S128">
        <v>294380.40000000002</v>
      </c>
      <c r="T128">
        <v>318811.25137999997</v>
      </c>
      <c r="U128">
        <v>294654.05060000002</v>
      </c>
    </row>
    <row r="129" spans="1:21" x14ac:dyDescent="0.25">
      <c r="A129">
        <v>124</v>
      </c>
      <c r="B129">
        <v>298873.8</v>
      </c>
      <c r="C129">
        <v>298881</v>
      </c>
      <c r="D129">
        <v>3.4447199999999997E-2</v>
      </c>
      <c r="E129">
        <v>124</v>
      </c>
      <c r="F129">
        <v>299346.3</v>
      </c>
      <c r="G129">
        <v>299352.59999999998</v>
      </c>
      <c r="H129">
        <v>3.4447199999999997E-2</v>
      </c>
      <c r="I129">
        <v>124</v>
      </c>
      <c r="J129">
        <v>298176.8</v>
      </c>
      <c r="K129">
        <v>298198.5</v>
      </c>
      <c r="L129">
        <v>3.4447199999999997E-2</v>
      </c>
      <c r="M129">
        <v>124</v>
      </c>
      <c r="N129">
        <v>298504.7</v>
      </c>
      <c r="O129">
        <v>298519.7</v>
      </c>
      <c r="P129">
        <v>3.4447199999999997E-2</v>
      </c>
      <c r="R129">
        <v>319424.3</v>
      </c>
      <c r="S129">
        <v>294220.3</v>
      </c>
      <c r="T129">
        <v>319513.43820999999</v>
      </c>
      <c r="U129">
        <v>294668.10060000001</v>
      </c>
    </row>
    <row r="130" spans="1:21" x14ac:dyDescent="0.25">
      <c r="A130">
        <v>125</v>
      </c>
      <c r="B130">
        <v>298955.2</v>
      </c>
      <c r="C130">
        <v>298963.20000000001</v>
      </c>
      <c r="D130">
        <v>3.4724999999999999E-2</v>
      </c>
      <c r="E130">
        <v>125</v>
      </c>
      <c r="F130">
        <v>299293.2</v>
      </c>
      <c r="G130">
        <v>299299.5</v>
      </c>
      <c r="H130">
        <v>3.4724999999999999E-2</v>
      </c>
      <c r="I130">
        <v>125</v>
      </c>
      <c r="J130">
        <v>298144.59999999998</v>
      </c>
      <c r="K130">
        <v>298166.8</v>
      </c>
      <c r="L130">
        <v>3.4724999999999999E-2</v>
      </c>
      <c r="M130">
        <v>125</v>
      </c>
      <c r="N130">
        <v>298463.40000000002</v>
      </c>
      <c r="O130">
        <v>298478.7</v>
      </c>
      <c r="P130">
        <v>3.4724999999999999E-2</v>
      </c>
      <c r="R130">
        <v>320491.7</v>
      </c>
      <c r="S130">
        <v>294077.3</v>
      </c>
      <c r="T130">
        <v>320595.45370000001</v>
      </c>
      <c r="U130">
        <v>294622.46669999999</v>
      </c>
    </row>
    <row r="131" spans="1:21" x14ac:dyDescent="0.25">
      <c r="A131">
        <v>126</v>
      </c>
      <c r="B131">
        <v>299057.2</v>
      </c>
      <c r="C131">
        <v>299066.2</v>
      </c>
      <c r="D131">
        <v>3.5002800000000001E-2</v>
      </c>
      <c r="E131">
        <v>126</v>
      </c>
      <c r="F131">
        <v>299237.40000000002</v>
      </c>
      <c r="G131">
        <v>299243.7</v>
      </c>
      <c r="H131">
        <v>3.5002800000000001E-2</v>
      </c>
      <c r="I131">
        <v>126</v>
      </c>
      <c r="J131">
        <v>298112.09999999998</v>
      </c>
      <c r="K131">
        <v>298134.7</v>
      </c>
      <c r="L131">
        <v>3.5002800000000001E-2</v>
      </c>
      <c r="M131">
        <v>126</v>
      </c>
      <c r="N131">
        <v>298421.7</v>
      </c>
      <c r="O131">
        <v>298437.09999999998</v>
      </c>
      <c r="P131">
        <v>3.5002800000000001E-2</v>
      </c>
      <c r="R131">
        <v>321381.59999999998</v>
      </c>
      <c r="S131">
        <v>294140.09999999998</v>
      </c>
      <c r="T131">
        <v>321462.1925</v>
      </c>
      <c r="U131">
        <v>294692.03989999997</v>
      </c>
    </row>
    <row r="132" spans="1:21" x14ac:dyDescent="0.25">
      <c r="A132">
        <v>127</v>
      </c>
      <c r="B132">
        <v>299169.40000000002</v>
      </c>
      <c r="C132">
        <v>299179.8</v>
      </c>
      <c r="D132">
        <v>3.5280600000000002E-2</v>
      </c>
      <c r="E132">
        <v>127</v>
      </c>
      <c r="F132">
        <v>299178.59999999998</v>
      </c>
      <c r="G132">
        <v>299184.8</v>
      </c>
      <c r="H132">
        <v>3.5280600000000002E-2</v>
      </c>
      <c r="I132">
        <v>127</v>
      </c>
      <c r="J132">
        <v>298079.2</v>
      </c>
      <c r="K132">
        <v>298102.09999999998</v>
      </c>
      <c r="L132">
        <v>3.5280600000000002E-2</v>
      </c>
      <c r="M132">
        <v>127</v>
      </c>
      <c r="N132">
        <v>298379</v>
      </c>
      <c r="O132">
        <v>298394.5</v>
      </c>
      <c r="P132">
        <v>3.5280600000000002E-2</v>
      </c>
      <c r="R132">
        <v>321853.2</v>
      </c>
      <c r="S132">
        <v>294488</v>
      </c>
      <c r="T132">
        <v>321898.64113</v>
      </c>
      <c r="U132">
        <v>294983.51189999998</v>
      </c>
    </row>
    <row r="133" spans="1:21" x14ac:dyDescent="0.25">
      <c r="A133">
        <v>128</v>
      </c>
      <c r="B133">
        <v>299280.5</v>
      </c>
      <c r="C133">
        <v>299292.79999999999</v>
      </c>
      <c r="D133">
        <v>3.5558399999999997E-2</v>
      </c>
      <c r="E133">
        <v>128</v>
      </c>
      <c r="F133">
        <v>299115.40000000002</v>
      </c>
      <c r="G133">
        <v>299121.59999999998</v>
      </c>
      <c r="H133">
        <v>3.5558399999999997E-2</v>
      </c>
      <c r="I133">
        <v>128</v>
      </c>
      <c r="J133">
        <v>298046</v>
      </c>
      <c r="K133">
        <v>298069.09999999998</v>
      </c>
      <c r="L133">
        <v>3.5558399999999997E-2</v>
      </c>
      <c r="M133">
        <v>128</v>
      </c>
      <c r="N133">
        <v>298335.09999999998</v>
      </c>
      <c r="O133">
        <v>298350.5</v>
      </c>
      <c r="P133">
        <v>3.5558399999999997E-2</v>
      </c>
      <c r="R133">
        <v>322080</v>
      </c>
      <c r="S133">
        <v>295090</v>
      </c>
      <c r="T133">
        <v>322099.06445000001</v>
      </c>
      <c r="U133">
        <v>295514.75260000001</v>
      </c>
    </row>
    <row r="134" spans="1:21" x14ac:dyDescent="0.25">
      <c r="A134">
        <v>129</v>
      </c>
      <c r="B134">
        <v>299383.09999999998</v>
      </c>
      <c r="C134">
        <v>299397.5</v>
      </c>
      <c r="D134">
        <v>3.5836199999999999E-2</v>
      </c>
      <c r="E134">
        <v>129</v>
      </c>
      <c r="F134">
        <v>299045.09999999998</v>
      </c>
      <c r="G134">
        <v>299051.09999999998</v>
      </c>
      <c r="H134">
        <v>3.5836199999999999E-2</v>
      </c>
      <c r="I134">
        <v>129</v>
      </c>
      <c r="J134">
        <v>298012.40000000002</v>
      </c>
      <c r="K134">
        <v>298035.59999999998</v>
      </c>
      <c r="L134">
        <v>3.5836199999999999E-2</v>
      </c>
      <c r="M134">
        <v>129</v>
      </c>
      <c r="N134">
        <v>298289.5</v>
      </c>
      <c r="O134">
        <v>298304.8</v>
      </c>
      <c r="P134">
        <v>3.5836199999999999E-2</v>
      </c>
      <c r="R134">
        <v>322200.5</v>
      </c>
      <c r="S134">
        <v>295920.2</v>
      </c>
      <c r="T134">
        <v>322209.07714000001</v>
      </c>
      <c r="U134">
        <v>296312.68680000002</v>
      </c>
    </row>
    <row r="135" spans="1:21" x14ac:dyDescent="0.25">
      <c r="A135">
        <v>130</v>
      </c>
      <c r="B135">
        <v>299472.7</v>
      </c>
      <c r="C135">
        <v>299489.3</v>
      </c>
      <c r="D135">
        <v>3.6114E-2</v>
      </c>
      <c r="E135">
        <v>130</v>
      </c>
      <c r="F135">
        <v>298963.20000000001</v>
      </c>
      <c r="G135">
        <v>298969.09999999998</v>
      </c>
      <c r="H135">
        <v>3.6114E-2</v>
      </c>
      <c r="I135">
        <v>130</v>
      </c>
      <c r="J135">
        <v>297978.5</v>
      </c>
      <c r="K135">
        <v>298001.7</v>
      </c>
      <c r="L135">
        <v>3.6114E-2</v>
      </c>
      <c r="M135">
        <v>130</v>
      </c>
      <c r="N135">
        <v>298242</v>
      </c>
      <c r="O135">
        <v>298257.09999999998</v>
      </c>
      <c r="P135">
        <v>3.6114E-2</v>
      </c>
      <c r="R135">
        <v>322286.09999999998</v>
      </c>
      <c r="S135">
        <v>296962.40000000002</v>
      </c>
      <c r="T135">
        <v>322293.16719399998</v>
      </c>
      <c r="U135">
        <v>297383.31640000001</v>
      </c>
    </row>
    <row r="136" spans="1:21" x14ac:dyDescent="0.25">
      <c r="A136">
        <v>131</v>
      </c>
      <c r="B136">
        <v>299548</v>
      </c>
      <c r="C136">
        <v>299566.90000000002</v>
      </c>
      <c r="D136">
        <v>3.6391800000000002E-2</v>
      </c>
      <c r="E136">
        <v>131</v>
      </c>
      <c r="F136">
        <v>298865.2</v>
      </c>
      <c r="G136">
        <v>298870.90000000002</v>
      </c>
      <c r="H136">
        <v>3.6391800000000002E-2</v>
      </c>
      <c r="I136">
        <v>131</v>
      </c>
      <c r="J136">
        <v>297944.2</v>
      </c>
      <c r="K136">
        <v>297967.2</v>
      </c>
      <c r="L136">
        <v>3.6391800000000002E-2</v>
      </c>
      <c r="M136">
        <v>131</v>
      </c>
      <c r="N136">
        <v>298192.2</v>
      </c>
      <c r="O136">
        <v>298207.09999999998</v>
      </c>
      <c r="P136">
        <v>3.6391800000000002E-2</v>
      </c>
      <c r="R136">
        <v>322384.7</v>
      </c>
      <c r="S136">
        <v>297989.09999999998</v>
      </c>
      <c r="T136">
        <v>322392.37637499999</v>
      </c>
      <c r="U136">
        <v>298461.80369999999</v>
      </c>
    </row>
    <row r="137" spans="1:21" x14ac:dyDescent="0.25">
      <c r="A137">
        <v>132</v>
      </c>
      <c r="B137">
        <v>299608.2</v>
      </c>
      <c r="C137">
        <v>299629.2</v>
      </c>
      <c r="D137">
        <v>3.6669599999999997E-2</v>
      </c>
      <c r="E137">
        <v>132</v>
      </c>
      <c r="F137">
        <v>298748.5</v>
      </c>
      <c r="G137">
        <v>298754.2</v>
      </c>
      <c r="H137">
        <v>3.6669599999999997E-2</v>
      </c>
      <c r="I137">
        <v>132</v>
      </c>
      <c r="J137">
        <v>297909.3</v>
      </c>
      <c r="K137">
        <v>297932.2</v>
      </c>
      <c r="L137">
        <v>3.6669599999999997E-2</v>
      </c>
      <c r="M137">
        <v>132</v>
      </c>
      <c r="N137">
        <v>298140.09999999998</v>
      </c>
      <c r="O137">
        <v>298154.59999999998</v>
      </c>
      <c r="P137">
        <v>3.6669599999999997E-2</v>
      </c>
      <c r="R137">
        <v>322539</v>
      </c>
      <c r="S137">
        <v>298703.2</v>
      </c>
      <c r="T137">
        <v>322549.58003000001</v>
      </c>
      <c r="U137">
        <v>299188.44040000002</v>
      </c>
    </row>
    <row r="138" spans="1:21" x14ac:dyDescent="0.25">
      <c r="A138">
        <v>133</v>
      </c>
      <c r="B138">
        <v>299652.8</v>
      </c>
      <c r="C138">
        <v>299675.59999999998</v>
      </c>
      <c r="D138">
        <v>3.6947399999999998E-2</v>
      </c>
      <c r="E138">
        <v>133</v>
      </c>
      <c r="F138">
        <v>298614.2</v>
      </c>
      <c r="G138">
        <v>298619.90000000002</v>
      </c>
      <c r="H138">
        <v>3.6947399999999998E-2</v>
      </c>
      <c r="I138">
        <v>133</v>
      </c>
      <c r="J138">
        <v>297873.7</v>
      </c>
      <c r="K138">
        <v>297896.2</v>
      </c>
      <c r="L138">
        <v>3.6947399999999998E-2</v>
      </c>
      <c r="M138">
        <v>133</v>
      </c>
      <c r="N138">
        <v>298085.59999999998</v>
      </c>
      <c r="O138">
        <v>298099.8</v>
      </c>
      <c r="P138">
        <v>3.6947399999999998E-2</v>
      </c>
      <c r="R138">
        <v>322861.09999999998</v>
      </c>
      <c r="S138">
        <v>299050.59999999998</v>
      </c>
      <c r="T138">
        <v>322888.11323999998</v>
      </c>
      <c r="U138">
        <v>299486.55169999995</v>
      </c>
    </row>
    <row r="139" spans="1:21" x14ac:dyDescent="0.25">
      <c r="A139">
        <v>134</v>
      </c>
      <c r="B139">
        <v>299682.09999999998</v>
      </c>
      <c r="C139">
        <v>299706.7</v>
      </c>
      <c r="D139">
        <v>3.72252E-2</v>
      </c>
      <c r="E139">
        <v>134</v>
      </c>
      <c r="F139">
        <v>298465.59999999998</v>
      </c>
      <c r="G139">
        <v>298471.2</v>
      </c>
      <c r="H139">
        <v>3.72252E-2</v>
      </c>
      <c r="I139">
        <v>134</v>
      </c>
      <c r="J139">
        <v>297837</v>
      </c>
      <c r="K139">
        <v>297859.09999999998</v>
      </c>
      <c r="L139">
        <v>3.72252E-2</v>
      </c>
      <c r="M139">
        <v>134</v>
      </c>
      <c r="N139">
        <v>298029.3</v>
      </c>
      <c r="O139">
        <v>298043</v>
      </c>
      <c r="P139">
        <v>3.72252E-2</v>
      </c>
      <c r="R139">
        <v>323563.5</v>
      </c>
      <c r="S139">
        <v>299147.3</v>
      </c>
      <c r="T139">
        <v>323617.25738999998</v>
      </c>
      <c r="U139">
        <v>299499.32809999998</v>
      </c>
    </row>
    <row r="140" spans="1:21" x14ac:dyDescent="0.25">
      <c r="A140">
        <v>135</v>
      </c>
      <c r="B140">
        <v>299697.8</v>
      </c>
      <c r="C140">
        <v>299723.90000000002</v>
      </c>
      <c r="D140">
        <v>3.7503000000000002E-2</v>
      </c>
      <c r="E140">
        <v>135</v>
      </c>
      <c r="F140">
        <v>298306.8</v>
      </c>
      <c r="G140">
        <v>298312.40000000002</v>
      </c>
      <c r="H140">
        <v>3.7503000000000002E-2</v>
      </c>
      <c r="I140">
        <v>135</v>
      </c>
      <c r="J140">
        <v>297798.59999999998</v>
      </c>
      <c r="K140">
        <v>297820.2</v>
      </c>
      <c r="L140">
        <v>3.7503000000000002E-2</v>
      </c>
      <c r="M140">
        <v>135</v>
      </c>
      <c r="N140">
        <v>297971.8</v>
      </c>
      <c r="O140">
        <v>297985.09999999998</v>
      </c>
      <c r="P140">
        <v>3.7503000000000002E-2</v>
      </c>
      <c r="R140">
        <v>324308.7</v>
      </c>
      <c r="S140">
        <v>299135.2</v>
      </c>
      <c r="T140">
        <v>324360.93820999999</v>
      </c>
      <c r="U140">
        <v>299397.95110000001</v>
      </c>
    </row>
    <row r="141" spans="1:21" x14ac:dyDescent="0.25">
      <c r="A141">
        <v>136</v>
      </c>
      <c r="B141">
        <v>299702.8</v>
      </c>
      <c r="C141">
        <v>299730.09999999998</v>
      </c>
      <c r="D141">
        <v>3.7780800000000003E-2</v>
      </c>
      <c r="E141">
        <v>136</v>
      </c>
      <c r="F141">
        <v>298144.09999999998</v>
      </c>
      <c r="G141">
        <v>298149.59999999998</v>
      </c>
      <c r="H141">
        <v>3.7780800000000003E-2</v>
      </c>
      <c r="I141">
        <v>136</v>
      </c>
      <c r="J141">
        <v>297758.09999999998</v>
      </c>
      <c r="K141">
        <v>297779.20000000001</v>
      </c>
      <c r="L141">
        <v>3.7780800000000003E-2</v>
      </c>
      <c r="M141">
        <v>136</v>
      </c>
      <c r="N141">
        <v>297914.2</v>
      </c>
      <c r="O141">
        <v>297926.90000000002</v>
      </c>
      <c r="P141">
        <v>3.7780800000000003E-2</v>
      </c>
      <c r="R141">
        <v>324683.40000000002</v>
      </c>
      <c r="S141">
        <v>299118</v>
      </c>
      <c r="T141">
        <v>324718.74306000001</v>
      </c>
      <c r="U141">
        <v>299297.96029999998</v>
      </c>
    </row>
    <row r="142" spans="1:21" x14ac:dyDescent="0.25">
      <c r="A142">
        <v>137</v>
      </c>
      <c r="B142">
        <v>299700.59999999998</v>
      </c>
      <c r="C142">
        <v>299729.09999999998</v>
      </c>
      <c r="D142">
        <v>3.8058599999999998E-2</v>
      </c>
      <c r="E142">
        <v>137</v>
      </c>
      <c r="F142">
        <v>297988.7</v>
      </c>
      <c r="G142">
        <v>297994</v>
      </c>
      <c r="H142">
        <v>3.8058599999999998E-2</v>
      </c>
      <c r="I142">
        <v>137</v>
      </c>
      <c r="J142">
        <v>297715.20000000001</v>
      </c>
      <c r="K142">
        <v>297735.7</v>
      </c>
      <c r="L142">
        <v>3.8058599999999998E-2</v>
      </c>
      <c r="M142">
        <v>137</v>
      </c>
      <c r="N142">
        <v>297857.2</v>
      </c>
      <c r="O142">
        <v>297869.3</v>
      </c>
      <c r="P142">
        <v>3.8058599999999998E-2</v>
      </c>
      <c r="R142">
        <v>324800.40000000002</v>
      </c>
      <c r="S142">
        <v>299156.59999999998</v>
      </c>
      <c r="T142">
        <v>324824.52483000001</v>
      </c>
      <c r="U142">
        <v>299263.57039999997</v>
      </c>
    </row>
    <row r="143" spans="1:21" x14ac:dyDescent="0.25">
      <c r="A143">
        <v>138</v>
      </c>
      <c r="B143">
        <v>299696.3</v>
      </c>
      <c r="C143">
        <v>299726.09999999998</v>
      </c>
      <c r="D143">
        <v>3.83364E-2</v>
      </c>
      <c r="E143">
        <v>138</v>
      </c>
      <c r="F143">
        <v>297851</v>
      </c>
      <c r="G143">
        <v>297856</v>
      </c>
      <c r="H143">
        <v>3.83364E-2</v>
      </c>
      <c r="I143">
        <v>138</v>
      </c>
      <c r="J143">
        <v>297670</v>
      </c>
      <c r="K143">
        <v>297689.8</v>
      </c>
      <c r="L143">
        <v>3.83364E-2</v>
      </c>
      <c r="M143">
        <v>138</v>
      </c>
      <c r="N143">
        <v>297801.5</v>
      </c>
      <c r="O143">
        <v>297813</v>
      </c>
      <c r="P143">
        <v>3.83364E-2</v>
      </c>
      <c r="R143">
        <v>324749.7</v>
      </c>
      <c r="S143">
        <v>299264.59999999998</v>
      </c>
      <c r="T143">
        <v>324774.46912999998</v>
      </c>
      <c r="U143">
        <v>299316.70629999996</v>
      </c>
    </row>
    <row r="144" spans="1:21" x14ac:dyDescent="0.25">
      <c r="A144">
        <v>139</v>
      </c>
      <c r="B144">
        <v>299696.7</v>
      </c>
      <c r="C144">
        <v>299727.8</v>
      </c>
      <c r="D144">
        <v>3.8614200000000001E-2</v>
      </c>
      <c r="E144">
        <v>139</v>
      </c>
      <c r="F144">
        <v>297731.3</v>
      </c>
      <c r="G144">
        <v>297736</v>
      </c>
      <c r="H144">
        <v>3.8614200000000001E-2</v>
      </c>
      <c r="I144">
        <v>139</v>
      </c>
      <c r="J144">
        <v>297623.2</v>
      </c>
      <c r="K144">
        <v>297642.2</v>
      </c>
      <c r="L144">
        <v>3.8614200000000001E-2</v>
      </c>
      <c r="M144">
        <v>139</v>
      </c>
      <c r="N144">
        <v>297747.59999999998</v>
      </c>
      <c r="O144">
        <v>297758.59999999998</v>
      </c>
      <c r="P144">
        <v>3.8614200000000001E-2</v>
      </c>
      <c r="R144">
        <v>324582.3</v>
      </c>
      <c r="S144">
        <v>299423.5</v>
      </c>
      <c r="T144">
        <v>324615.73352000001</v>
      </c>
      <c r="U144">
        <v>299455.08652000001</v>
      </c>
    </row>
    <row r="145" spans="1:21" x14ac:dyDescent="0.25">
      <c r="A145">
        <v>140</v>
      </c>
      <c r="B145">
        <v>299710.7</v>
      </c>
      <c r="C145">
        <v>299743.40000000002</v>
      </c>
      <c r="D145">
        <v>3.8892000000000003E-2</v>
      </c>
      <c r="E145">
        <v>140</v>
      </c>
      <c r="F145">
        <v>297624.09999999998</v>
      </c>
      <c r="G145">
        <v>297628.3</v>
      </c>
      <c r="H145">
        <v>3.8892000000000003E-2</v>
      </c>
      <c r="I145">
        <v>140</v>
      </c>
      <c r="J145">
        <v>297575.90000000002</v>
      </c>
      <c r="K145">
        <v>297594.09999999998</v>
      </c>
      <c r="L145">
        <v>3.8892000000000003E-2</v>
      </c>
      <c r="M145">
        <v>140</v>
      </c>
      <c r="N145">
        <v>297695.8</v>
      </c>
      <c r="O145">
        <v>297706.2</v>
      </c>
      <c r="P145">
        <v>3.8892000000000003E-2</v>
      </c>
      <c r="R145">
        <v>324331.90000000002</v>
      </c>
      <c r="S145">
        <v>299585.3</v>
      </c>
      <c r="T145">
        <v>324372.92020000005</v>
      </c>
      <c r="U145">
        <v>299643.84904</v>
      </c>
    </row>
    <row r="146" spans="1:21" x14ac:dyDescent="0.25">
      <c r="A146">
        <v>141</v>
      </c>
      <c r="B146">
        <v>299751.5</v>
      </c>
      <c r="C146">
        <v>299786.5</v>
      </c>
      <c r="D146">
        <v>3.9169799999999998E-2</v>
      </c>
      <c r="E146">
        <v>141</v>
      </c>
      <c r="F146">
        <v>297528.90000000002</v>
      </c>
      <c r="G146">
        <v>297532.7</v>
      </c>
      <c r="H146">
        <v>3.9169799999999998E-2</v>
      </c>
      <c r="I146">
        <v>141</v>
      </c>
      <c r="J146">
        <v>297529.5</v>
      </c>
      <c r="K146">
        <v>297546.8</v>
      </c>
      <c r="L146">
        <v>3.9169799999999998E-2</v>
      </c>
      <c r="M146">
        <v>141</v>
      </c>
      <c r="N146">
        <v>297646.5</v>
      </c>
      <c r="O146">
        <v>297656.2</v>
      </c>
      <c r="P146">
        <v>3.9169799999999998E-2</v>
      </c>
      <c r="R146">
        <v>324054.8</v>
      </c>
      <c r="S146">
        <v>299695</v>
      </c>
      <c r="T146">
        <v>324096.70368999999</v>
      </c>
      <c r="U146">
        <v>299817.20799999998</v>
      </c>
    </row>
    <row r="147" spans="1:21" x14ac:dyDescent="0.25">
      <c r="A147">
        <v>142</v>
      </c>
      <c r="B147">
        <v>299833.8</v>
      </c>
      <c r="C147">
        <v>299871.90000000002</v>
      </c>
      <c r="D147">
        <v>3.9447599999999999E-2</v>
      </c>
      <c r="E147">
        <v>142</v>
      </c>
      <c r="F147">
        <v>297445</v>
      </c>
      <c r="G147">
        <v>297448.5</v>
      </c>
      <c r="H147">
        <v>3.9447599999999999E-2</v>
      </c>
      <c r="I147">
        <v>142</v>
      </c>
      <c r="J147">
        <v>297485.2</v>
      </c>
      <c r="K147">
        <v>297501.7</v>
      </c>
      <c r="L147">
        <v>3.9447599999999999E-2</v>
      </c>
      <c r="M147">
        <v>142</v>
      </c>
      <c r="N147">
        <v>297599.8</v>
      </c>
      <c r="O147">
        <v>297609</v>
      </c>
      <c r="P147">
        <v>3.9447599999999999E-2</v>
      </c>
      <c r="R147">
        <v>323796.8</v>
      </c>
      <c r="S147">
        <v>299736.2</v>
      </c>
      <c r="T147">
        <v>323834.23019999999</v>
      </c>
      <c r="U147">
        <v>299917.83689999999</v>
      </c>
    </row>
    <row r="148" spans="1:21" x14ac:dyDescent="0.25">
      <c r="A148">
        <v>143</v>
      </c>
      <c r="B148">
        <v>299966.5</v>
      </c>
      <c r="C148">
        <v>300007.59999999998</v>
      </c>
      <c r="D148">
        <v>3.9725400000000001E-2</v>
      </c>
      <c r="E148">
        <v>143</v>
      </c>
      <c r="F148">
        <v>297378.09999999998</v>
      </c>
      <c r="G148">
        <v>297380.90000000002</v>
      </c>
      <c r="H148">
        <v>3.9725400000000001E-2</v>
      </c>
      <c r="I148">
        <v>143</v>
      </c>
      <c r="J148">
        <v>297451.09999999998</v>
      </c>
      <c r="K148">
        <v>297466.09999999998</v>
      </c>
      <c r="L148">
        <v>3.9725400000000001E-2</v>
      </c>
      <c r="M148">
        <v>143</v>
      </c>
      <c r="N148">
        <v>297562.5</v>
      </c>
      <c r="O148">
        <v>297570.8</v>
      </c>
      <c r="P148">
        <v>3.9725400000000001E-2</v>
      </c>
      <c r="R148">
        <v>323565.3</v>
      </c>
      <c r="S148">
        <v>299787.59999999998</v>
      </c>
      <c r="T148">
        <v>324355.38299999997</v>
      </c>
      <c r="U148">
        <v>299978.01949999999</v>
      </c>
    </row>
    <row r="149" spans="1:21" x14ac:dyDescent="0.25">
      <c r="A149">
        <v>144</v>
      </c>
      <c r="B149">
        <v>300121.59999999998</v>
      </c>
      <c r="C149">
        <v>300166.90000000002</v>
      </c>
      <c r="D149">
        <v>4.0003200000000003E-2</v>
      </c>
      <c r="E149">
        <v>144</v>
      </c>
      <c r="F149">
        <v>297316.3</v>
      </c>
      <c r="G149">
        <v>297318.90000000002</v>
      </c>
      <c r="H149">
        <v>4.0003200000000003E-2</v>
      </c>
      <c r="I149">
        <v>144</v>
      </c>
      <c r="J149">
        <v>297413.09999999998</v>
      </c>
      <c r="K149">
        <v>297427</v>
      </c>
      <c r="L149">
        <v>4.0003200000000003E-2</v>
      </c>
      <c r="M149">
        <v>144</v>
      </c>
      <c r="N149">
        <v>297521.40000000002</v>
      </c>
      <c r="O149">
        <v>297529.2</v>
      </c>
      <c r="P149">
        <v>4.0003200000000003E-2</v>
      </c>
      <c r="R149">
        <v>325774.5</v>
      </c>
      <c r="S149">
        <v>299973</v>
      </c>
      <c r="T149">
        <v>328143.68800000002</v>
      </c>
      <c r="U149">
        <v>300110.24430000002</v>
      </c>
    </row>
    <row r="150" spans="1:21" x14ac:dyDescent="0.25">
      <c r="A150">
        <v>145</v>
      </c>
      <c r="B150">
        <v>300763.2</v>
      </c>
      <c r="C150">
        <v>300779.3</v>
      </c>
      <c r="D150">
        <v>4.0280999999999997E-2</v>
      </c>
      <c r="E150">
        <v>145</v>
      </c>
      <c r="F150">
        <v>297632</v>
      </c>
      <c r="G150">
        <v>297632.2</v>
      </c>
      <c r="H150">
        <v>4.0280999999999997E-2</v>
      </c>
      <c r="I150">
        <v>145</v>
      </c>
      <c r="J150">
        <v>297823.40000000002</v>
      </c>
      <c r="K150">
        <v>297826.90000000002</v>
      </c>
      <c r="L150">
        <v>4.0280999999999997E-2</v>
      </c>
      <c r="M150">
        <v>145</v>
      </c>
      <c r="N150">
        <v>297917.2</v>
      </c>
      <c r="O150">
        <v>297918.59999999998</v>
      </c>
      <c r="P150">
        <v>4.0280999999999997E-2</v>
      </c>
      <c r="R150">
        <v>327892.2</v>
      </c>
      <c r="S150">
        <v>300808.09999999998</v>
      </c>
      <c r="T150">
        <v>331950.24</v>
      </c>
      <c r="U150">
        <v>301003.81569999998</v>
      </c>
    </row>
    <row r="151" spans="1:21" x14ac:dyDescent="0.25">
      <c r="A151">
        <v>146</v>
      </c>
      <c r="B151">
        <v>301936.59999999998</v>
      </c>
      <c r="C151">
        <v>302021.59999999998</v>
      </c>
      <c r="D151">
        <v>4.0558799999999999E-2</v>
      </c>
      <c r="E151">
        <v>146</v>
      </c>
      <c r="F151">
        <v>298503.40000000002</v>
      </c>
      <c r="G151">
        <v>298589</v>
      </c>
      <c r="H151">
        <v>4.0558799999999999E-2</v>
      </c>
      <c r="I151">
        <v>146</v>
      </c>
      <c r="J151">
        <v>298811.59999999998</v>
      </c>
      <c r="K151">
        <v>298897.59999999998</v>
      </c>
      <c r="L151">
        <v>4.0558799999999999E-2</v>
      </c>
      <c r="M151">
        <v>146</v>
      </c>
      <c r="N151">
        <v>298891.7</v>
      </c>
      <c r="O151">
        <v>298977</v>
      </c>
      <c r="P151">
        <v>4.0558799999999999E-2</v>
      </c>
      <c r="R151">
        <v>330091.3</v>
      </c>
      <c r="S151">
        <v>305826.7</v>
      </c>
      <c r="T151">
        <v>335368.94199999998</v>
      </c>
      <c r="U151">
        <v>307360.58600000001</v>
      </c>
    </row>
    <row r="152" spans="1:21" x14ac:dyDescent="0.25">
      <c r="A152">
        <v>147</v>
      </c>
      <c r="B152">
        <v>303339.5</v>
      </c>
      <c r="C152">
        <v>303663.90000000002</v>
      </c>
      <c r="D152">
        <v>4.0836600000000001E-2</v>
      </c>
      <c r="E152">
        <v>147</v>
      </c>
      <c r="F152">
        <v>299655.09999999998</v>
      </c>
      <c r="G152">
        <v>299984</v>
      </c>
      <c r="H152">
        <v>4.0836600000000001E-2</v>
      </c>
      <c r="I152">
        <v>147</v>
      </c>
      <c r="J152">
        <v>300082</v>
      </c>
      <c r="K152">
        <v>300410.59999999998</v>
      </c>
      <c r="L152">
        <v>4.0836600000000001E-2</v>
      </c>
      <c r="M152">
        <v>147</v>
      </c>
      <c r="N152">
        <v>300143.09999999998</v>
      </c>
      <c r="O152">
        <v>300471.2</v>
      </c>
      <c r="P152">
        <v>4.0836600000000001E-2</v>
      </c>
      <c r="R152">
        <v>332626.2</v>
      </c>
      <c r="S152">
        <v>310239.7</v>
      </c>
      <c r="T152">
        <v>338468.48499999999</v>
      </c>
      <c r="U152">
        <v>314620.16700000002</v>
      </c>
    </row>
    <row r="153" spans="1:21" x14ac:dyDescent="0.25">
      <c r="A153">
        <v>148</v>
      </c>
      <c r="B153">
        <v>304517.40000000002</v>
      </c>
      <c r="C153">
        <v>305145.5</v>
      </c>
      <c r="D153">
        <v>4.1114400000000002E-2</v>
      </c>
      <c r="E153">
        <v>148</v>
      </c>
      <c r="F153">
        <v>300725.2</v>
      </c>
      <c r="G153">
        <v>301360.40000000002</v>
      </c>
      <c r="H153">
        <v>4.1114400000000002E-2</v>
      </c>
      <c r="I153">
        <v>148</v>
      </c>
      <c r="J153">
        <v>301241.7</v>
      </c>
      <c r="K153">
        <v>301876.3</v>
      </c>
      <c r="L153">
        <v>4.1114400000000002E-2</v>
      </c>
      <c r="M153">
        <v>148</v>
      </c>
      <c r="N153">
        <v>301271.90000000002</v>
      </c>
      <c r="O153">
        <v>301906.09999999998</v>
      </c>
      <c r="P153">
        <v>4.1114400000000002E-2</v>
      </c>
      <c r="R153">
        <v>334325.8</v>
      </c>
      <c r="S153">
        <v>309778.8</v>
      </c>
      <c r="T153">
        <v>340632.19299999997</v>
      </c>
      <c r="U153">
        <v>318062.27799999999</v>
      </c>
    </row>
    <row r="154" spans="1:21" x14ac:dyDescent="0.25">
      <c r="A154">
        <v>149</v>
      </c>
      <c r="B154">
        <v>305369.8</v>
      </c>
      <c r="C154">
        <v>306268.79999999999</v>
      </c>
      <c r="D154">
        <v>4.1392199999999997E-2</v>
      </c>
      <c r="E154">
        <v>149</v>
      </c>
      <c r="F154">
        <v>301652.40000000002</v>
      </c>
      <c r="G154">
        <v>302560</v>
      </c>
      <c r="H154">
        <v>4.1392199999999997E-2</v>
      </c>
      <c r="I154">
        <v>149</v>
      </c>
      <c r="J154">
        <v>302192.09999999998</v>
      </c>
      <c r="K154">
        <v>303099.2</v>
      </c>
      <c r="L154">
        <v>4.1392199999999997E-2</v>
      </c>
      <c r="M154">
        <v>149</v>
      </c>
      <c r="N154">
        <v>302185.2</v>
      </c>
      <c r="O154">
        <v>303092</v>
      </c>
      <c r="P154">
        <v>4.1392199999999997E-2</v>
      </c>
      <c r="R154">
        <v>335168.40000000002</v>
      </c>
      <c r="S154">
        <v>305307.3</v>
      </c>
      <c r="T154">
        <v>341932.91600000003</v>
      </c>
      <c r="U154">
        <v>318251.14999999997</v>
      </c>
    </row>
    <row r="155" spans="1:21" x14ac:dyDescent="0.25">
      <c r="A155">
        <v>150</v>
      </c>
      <c r="B155">
        <v>306293.3</v>
      </c>
      <c r="C155">
        <v>307497.2</v>
      </c>
      <c r="D155">
        <v>4.1669999999999999E-2</v>
      </c>
      <c r="E155">
        <v>150</v>
      </c>
      <c r="F155">
        <v>302795.8</v>
      </c>
      <c r="G155">
        <v>304009.90000000002</v>
      </c>
      <c r="H155">
        <v>4.1669999999999999E-2</v>
      </c>
      <c r="I155">
        <v>150</v>
      </c>
      <c r="J155">
        <v>303325.7</v>
      </c>
      <c r="K155">
        <v>304539.2</v>
      </c>
      <c r="L155">
        <v>4.1669999999999999E-2</v>
      </c>
      <c r="M155">
        <v>150</v>
      </c>
      <c r="N155">
        <v>303285.09999999998</v>
      </c>
      <c r="O155">
        <v>304498.5</v>
      </c>
      <c r="P155">
        <v>4.1669999999999999E-2</v>
      </c>
      <c r="R155">
        <v>334691.90000000002</v>
      </c>
      <c r="S155">
        <v>302940.5</v>
      </c>
      <c r="T155">
        <v>341832.43600000005</v>
      </c>
      <c r="U155">
        <v>318194.34000000003</v>
      </c>
    </row>
    <row r="156" spans="1:21" x14ac:dyDescent="0.25">
      <c r="A156">
        <v>151</v>
      </c>
      <c r="B156">
        <v>307016.3</v>
      </c>
      <c r="C156">
        <v>308516.2</v>
      </c>
      <c r="D156">
        <v>4.19478E-2</v>
      </c>
      <c r="E156">
        <v>151</v>
      </c>
      <c r="F156">
        <v>303853.8</v>
      </c>
      <c r="G156">
        <v>305365</v>
      </c>
      <c r="H156">
        <v>4.19478E-2</v>
      </c>
      <c r="I156">
        <v>151</v>
      </c>
      <c r="J156">
        <v>304312.59999999998</v>
      </c>
      <c r="K156">
        <v>305823.09999999998</v>
      </c>
      <c r="L156">
        <v>4.19478E-2</v>
      </c>
      <c r="M156">
        <v>151</v>
      </c>
      <c r="N156">
        <v>304255</v>
      </c>
      <c r="O156">
        <v>305765.7</v>
      </c>
      <c r="P156">
        <v>4.19478E-2</v>
      </c>
      <c r="R156">
        <v>333694.40000000002</v>
      </c>
      <c r="S156">
        <v>304622.3</v>
      </c>
      <c r="T156">
        <v>341222.49800000002</v>
      </c>
      <c r="U156">
        <v>319869.75</v>
      </c>
    </row>
    <row r="157" spans="1:21" x14ac:dyDescent="0.25">
      <c r="A157">
        <v>152</v>
      </c>
      <c r="B157">
        <v>307485.59999999998</v>
      </c>
      <c r="C157">
        <v>309229.2</v>
      </c>
      <c r="D157">
        <v>4.2225600000000002E-2</v>
      </c>
      <c r="E157">
        <v>152</v>
      </c>
      <c r="F157">
        <v>304734.3</v>
      </c>
      <c r="G157">
        <v>306489</v>
      </c>
      <c r="H157">
        <v>4.2225600000000002E-2</v>
      </c>
      <c r="I157">
        <v>152</v>
      </c>
      <c r="J157">
        <v>305070.2</v>
      </c>
      <c r="K157">
        <v>306824.7</v>
      </c>
      <c r="L157">
        <v>4.2225600000000002E-2</v>
      </c>
      <c r="M157">
        <v>152</v>
      </c>
      <c r="N157">
        <v>305014.09999999998</v>
      </c>
      <c r="O157">
        <v>306768.8</v>
      </c>
      <c r="P157">
        <v>4.2225600000000002E-2</v>
      </c>
      <c r="R157">
        <v>333233.90000000002</v>
      </c>
      <c r="S157">
        <v>305726.8</v>
      </c>
      <c r="T157">
        <v>341833.864</v>
      </c>
      <c r="U157">
        <v>320693.26</v>
      </c>
    </row>
    <row r="158" spans="1:21" x14ac:dyDescent="0.25">
      <c r="A158">
        <v>153</v>
      </c>
      <c r="B158">
        <v>307892.59999999998</v>
      </c>
      <c r="C158">
        <v>309871</v>
      </c>
      <c r="D158">
        <v>4.2503399999999997E-2</v>
      </c>
      <c r="E158">
        <v>153</v>
      </c>
      <c r="F158">
        <v>305590.09999999998</v>
      </c>
      <c r="G158">
        <v>307578.90000000002</v>
      </c>
      <c r="H158">
        <v>4.2503399999999997E-2</v>
      </c>
      <c r="I158">
        <v>153</v>
      </c>
      <c r="J158">
        <v>305779.20000000001</v>
      </c>
      <c r="K158">
        <v>307768.5</v>
      </c>
      <c r="L158">
        <v>4.2503399999999997E-2</v>
      </c>
      <c r="M158">
        <v>153</v>
      </c>
      <c r="N158">
        <v>305742.59999999998</v>
      </c>
      <c r="O158">
        <v>307732</v>
      </c>
      <c r="P158">
        <v>4.2503399999999997E-2</v>
      </c>
      <c r="R158">
        <v>333012.59999999998</v>
      </c>
      <c r="S158">
        <v>306665.7</v>
      </c>
      <c r="T158">
        <v>343286.07999999996</v>
      </c>
      <c r="U158">
        <v>321831.85000000003</v>
      </c>
    </row>
    <row r="159" spans="1:21" x14ac:dyDescent="0.25">
      <c r="A159">
        <v>154</v>
      </c>
      <c r="B159">
        <v>308573.5</v>
      </c>
      <c r="C159">
        <v>310897.2</v>
      </c>
      <c r="D159">
        <v>4.2781199999999998E-2</v>
      </c>
      <c r="E159">
        <v>154</v>
      </c>
      <c r="F159">
        <v>306715</v>
      </c>
      <c r="G159">
        <v>309048.59999999998</v>
      </c>
      <c r="H159">
        <v>4.2781199999999998E-2</v>
      </c>
      <c r="I159">
        <v>154</v>
      </c>
      <c r="J159">
        <v>306773.8</v>
      </c>
      <c r="K159">
        <v>309108.59999999998</v>
      </c>
      <c r="L159">
        <v>4.2781199999999998E-2</v>
      </c>
      <c r="M159">
        <v>154</v>
      </c>
      <c r="N159">
        <v>306768.90000000002</v>
      </c>
      <c r="O159">
        <v>309103.59999999998</v>
      </c>
      <c r="P159">
        <v>4.2781199999999998E-2</v>
      </c>
      <c r="R159">
        <v>332635.59999999998</v>
      </c>
      <c r="S159">
        <v>307716</v>
      </c>
      <c r="T159">
        <v>344482.66</v>
      </c>
      <c r="U159">
        <v>323934.48</v>
      </c>
    </row>
    <row r="160" spans="1:21" x14ac:dyDescent="0.25">
      <c r="A160">
        <v>155</v>
      </c>
      <c r="B160">
        <v>309348.5</v>
      </c>
      <c r="C160">
        <v>312092.09999999998</v>
      </c>
      <c r="D160">
        <v>4.3059E-2</v>
      </c>
      <c r="E160">
        <v>155</v>
      </c>
      <c r="F160">
        <v>307881</v>
      </c>
      <c r="G160">
        <v>310634.09999999998</v>
      </c>
      <c r="H160">
        <v>4.3059E-2</v>
      </c>
      <c r="I160">
        <v>155</v>
      </c>
      <c r="J160">
        <v>307823.3</v>
      </c>
      <c r="K160">
        <v>310578.3</v>
      </c>
      <c r="L160">
        <v>4.3059E-2</v>
      </c>
      <c r="M160">
        <v>155</v>
      </c>
      <c r="N160">
        <v>307860.09999999998</v>
      </c>
      <c r="O160">
        <v>310614.59999999998</v>
      </c>
      <c r="P160">
        <v>4.3059E-2</v>
      </c>
      <c r="R160">
        <v>332192.90000000002</v>
      </c>
      <c r="S160">
        <v>307986.2</v>
      </c>
      <c r="T160">
        <v>345127.39</v>
      </c>
      <c r="U160">
        <v>325688.69</v>
      </c>
    </row>
    <row r="161" spans="1:21" x14ac:dyDescent="0.25">
      <c r="A161">
        <v>156</v>
      </c>
      <c r="B161">
        <v>310023.90000000002</v>
      </c>
      <c r="C161">
        <v>313170.3</v>
      </c>
      <c r="D161">
        <v>4.3336800000000002E-2</v>
      </c>
      <c r="E161">
        <v>156</v>
      </c>
      <c r="F161">
        <v>308865.8</v>
      </c>
      <c r="G161">
        <v>312020.8</v>
      </c>
      <c r="H161">
        <v>4.3336800000000002E-2</v>
      </c>
      <c r="I161">
        <v>156</v>
      </c>
      <c r="J161">
        <v>308700.59999999998</v>
      </c>
      <c r="K161">
        <v>311858.5</v>
      </c>
      <c r="L161">
        <v>4.3336800000000002E-2</v>
      </c>
      <c r="M161">
        <v>156</v>
      </c>
      <c r="N161">
        <v>308784.7</v>
      </c>
      <c r="O161">
        <v>311941.7</v>
      </c>
      <c r="P161">
        <v>4.3336800000000002E-2</v>
      </c>
      <c r="R161">
        <v>331628.40000000002</v>
      </c>
      <c r="S161">
        <v>307239.09999999998</v>
      </c>
      <c r="T161">
        <v>345605.05000000005</v>
      </c>
      <c r="U161">
        <v>326210.26999999996</v>
      </c>
    </row>
    <row r="162" spans="1:21" x14ac:dyDescent="0.25">
      <c r="A162">
        <v>157</v>
      </c>
      <c r="B162">
        <v>310404.59999999998</v>
      </c>
      <c r="C162">
        <v>313834.5</v>
      </c>
      <c r="D162">
        <v>4.3614600000000003E-2</v>
      </c>
      <c r="E162">
        <v>157</v>
      </c>
      <c r="F162">
        <v>309472.5</v>
      </c>
      <c r="G162">
        <v>312910.09999999998</v>
      </c>
      <c r="H162">
        <v>4.3614600000000003E-2</v>
      </c>
      <c r="I162">
        <v>157</v>
      </c>
      <c r="J162">
        <v>309202.90000000002</v>
      </c>
      <c r="K162">
        <v>312644.3</v>
      </c>
      <c r="L162">
        <v>4.3614600000000003E-2</v>
      </c>
      <c r="M162">
        <v>157</v>
      </c>
      <c r="N162">
        <v>309336.7</v>
      </c>
      <c r="O162">
        <v>312776.90000000002</v>
      </c>
      <c r="P162">
        <v>4.3614600000000003E-2</v>
      </c>
      <c r="R162">
        <v>331273.5</v>
      </c>
      <c r="S162">
        <v>305311.3</v>
      </c>
      <c r="T162">
        <v>346224</v>
      </c>
      <c r="U162">
        <v>325625.98</v>
      </c>
    </row>
    <row r="163" spans="1:21" x14ac:dyDescent="0.25">
      <c r="A163">
        <v>158</v>
      </c>
      <c r="B163">
        <v>310786.7</v>
      </c>
      <c r="C163">
        <v>314471.59999999998</v>
      </c>
      <c r="D163">
        <v>4.3892399999999998E-2</v>
      </c>
      <c r="E163">
        <v>158</v>
      </c>
      <c r="F163">
        <v>310009</v>
      </c>
      <c r="G163">
        <v>313700.8</v>
      </c>
      <c r="H163">
        <v>4.3892399999999998E-2</v>
      </c>
      <c r="I163">
        <v>158</v>
      </c>
      <c r="J163">
        <v>309666.8</v>
      </c>
      <c r="K163">
        <v>313363.3</v>
      </c>
      <c r="L163">
        <v>4.3892399999999998E-2</v>
      </c>
      <c r="M163">
        <v>158</v>
      </c>
      <c r="N163">
        <v>309845.59999999998</v>
      </c>
      <c r="O163">
        <v>313540.40000000002</v>
      </c>
      <c r="P163">
        <v>4.3892399999999998E-2</v>
      </c>
      <c r="R163">
        <v>331513.8</v>
      </c>
      <c r="S163">
        <v>304247.2</v>
      </c>
      <c r="T163">
        <v>346987.66</v>
      </c>
      <c r="U163">
        <v>325596.28000000003</v>
      </c>
    </row>
    <row r="164" spans="1:21" x14ac:dyDescent="0.25">
      <c r="A164">
        <v>159</v>
      </c>
      <c r="B164">
        <v>311147.5</v>
      </c>
      <c r="C164">
        <v>315076.3</v>
      </c>
      <c r="D164">
        <v>4.41702E-2</v>
      </c>
      <c r="E164">
        <v>159</v>
      </c>
      <c r="F164">
        <v>310468.5</v>
      </c>
      <c r="G164">
        <v>314403.90000000002</v>
      </c>
      <c r="H164">
        <v>4.41702E-2</v>
      </c>
      <c r="I164">
        <v>159</v>
      </c>
      <c r="J164">
        <v>310086.2</v>
      </c>
      <c r="K164">
        <v>314026.7</v>
      </c>
      <c r="L164">
        <v>4.41702E-2</v>
      </c>
      <c r="M164">
        <v>159</v>
      </c>
      <c r="N164">
        <v>310304.5</v>
      </c>
      <c r="O164">
        <v>314243</v>
      </c>
      <c r="P164">
        <v>4.41702E-2</v>
      </c>
      <c r="R164">
        <v>332092.5</v>
      </c>
      <c r="S164">
        <v>306019.7</v>
      </c>
      <c r="T164">
        <v>347384.05</v>
      </c>
      <c r="U164">
        <v>327218.27</v>
      </c>
    </row>
    <row r="165" spans="1:21" x14ac:dyDescent="0.25">
      <c r="A165">
        <v>160</v>
      </c>
      <c r="B165">
        <v>311308.2</v>
      </c>
      <c r="C165">
        <v>315400</v>
      </c>
      <c r="D165">
        <v>4.4448000000000001E-2</v>
      </c>
      <c r="E165">
        <v>160</v>
      </c>
      <c r="F165">
        <v>310685.59999999998</v>
      </c>
      <c r="G165">
        <v>314783.8</v>
      </c>
      <c r="H165">
        <v>4.4448000000000001E-2</v>
      </c>
      <c r="I165">
        <v>160</v>
      </c>
      <c r="J165">
        <v>310284.09999999998</v>
      </c>
      <c r="K165">
        <v>314387.7</v>
      </c>
      <c r="L165">
        <v>4.4448000000000001E-2</v>
      </c>
      <c r="M165">
        <v>160</v>
      </c>
      <c r="N165">
        <v>310533.09999999998</v>
      </c>
      <c r="O165">
        <v>314634.3</v>
      </c>
      <c r="P165">
        <v>4.4448000000000001E-2</v>
      </c>
      <c r="R165">
        <v>333211.59999999998</v>
      </c>
      <c r="S165">
        <v>308924.59999999998</v>
      </c>
      <c r="T165">
        <v>347888.89999999997</v>
      </c>
      <c r="U165">
        <v>328991.19</v>
      </c>
    </row>
    <row r="166" spans="1:21" x14ac:dyDescent="0.25">
      <c r="A166">
        <v>161</v>
      </c>
      <c r="B166">
        <v>311071</v>
      </c>
      <c r="C166">
        <v>315146.59999999998</v>
      </c>
      <c r="D166">
        <v>4.4725800000000003E-2</v>
      </c>
      <c r="E166">
        <v>161</v>
      </c>
      <c r="F166">
        <v>310474.2</v>
      </c>
      <c r="G166">
        <v>314556</v>
      </c>
      <c r="H166">
        <v>4.4725800000000003E-2</v>
      </c>
      <c r="I166">
        <v>161</v>
      </c>
      <c r="J166">
        <v>310058.5</v>
      </c>
      <c r="K166">
        <v>314145.5</v>
      </c>
      <c r="L166">
        <v>4.4725800000000003E-2</v>
      </c>
      <c r="M166">
        <v>161</v>
      </c>
      <c r="N166">
        <v>310323.8</v>
      </c>
      <c r="O166">
        <v>314408.5</v>
      </c>
      <c r="P166">
        <v>4.4725800000000003E-2</v>
      </c>
      <c r="R166">
        <v>335477.59999999998</v>
      </c>
      <c r="S166">
        <v>310859.09999999998</v>
      </c>
      <c r="T166">
        <v>348857.56</v>
      </c>
      <c r="U166">
        <v>329432.81</v>
      </c>
    </row>
    <row r="167" spans="1:21" x14ac:dyDescent="0.25">
      <c r="A167">
        <v>162</v>
      </c>
      <c r="B167">
        <v>310590.90000000002</v>
      </c>
      <c r="C167">
        <v>314514.09999999998</v>
      </c>
      <c r="D167">
        <v>4.5003599999999998E-2</v>
      </c>
      <c r="E167">
        <v>162</v>
      </c>
      <c r="F167">
        <v>310007.7</v>
      </c>
      <c r="G167">
        <v>313936.59999999998</v>
      </c>
      <c r="H167">
        <v>4.5003599999999998E-2</v>
      </c>
      <c r="I167">
        <v>162</v>
      </c>
      <c r="J167">
        <v>309587.90000000002</v>
      </c>
      <c r="K167">
        <v>313521.7</v>
      </c>
      <c r="L167">
        <v>4.5003599999999998E-2</v>
      </c>
      <c r="M167">
        <v>162</v>
      </c>
      <c r="N167">
        <v>309847.3</v>
      </c>
      <c r="O167">
        <v>313779.20000000001</v>
      </c>
      <c r="P167">
        <v>4.5003599999999998E-2</v>
      </c>
      <c r="R167">
        <v>338108.8</v>
      </c>
      <c r="S167">
        <v>310909.59999999998</v>
      </c>
      <c r="T167">
        <v>349886.27999999997</v>
      </c>
      <c r="U167">
        <v>328153.83999999997</v>
      </c>
    </row>
    <row r="168" spans="1:21" x14ac:dyDescent="0.25">
      <c r="A168">
        <v>163</v>
      </c>
      <c r="B168">
        <v>309517.7</v>
      </c>
      <c r="C168">
        <v>313034</v>
      </c>
      <c r="D168">
        <v>4.5281399999999999E-2</v>
      </c>
      <c r="E168">
        <v>163</v>
      </c>
      <c r="F168">
        <v>308959.09999999998</v>
      </c>
      <c r="G168">
        <v>312480.2</v>
      </c>
      <c r="H168">
        <v>4.5281399999999999E-2</v>
      </c>
      <c r="I168">
        <v>163</v>
      </c>
      <c r="J168">
        <v>308503</v>
      </c>
      <c r="K168">
        <v>312028.59999999998</v>
      </c>
      <c r="L168">
        <v>4.5281399999999999E-2</v>
      </c>
      <c r="M168">
        <v>163</v>
      </c>
      <c r="N168">
        <v>308742.7</v>
      </c>
      <c r="O168">
        <v>312267.09999999998</v>
      </c>
      <c r="P168">
        <v>4.5281399999999999E-2</v>
      </c>
      <c r="R168">
        <v>339504.6</v>
      </c>
      <c r="S168">
        <v>309236.8</v>
      </c>
      <c r="T168">
        <v>349628.70999999996</v>
      </c>
      <c r="U168">
        <v>325732.45999999996</v>
      </c>
    </row>
    <row r="169" spans="1:21" x14ac:dyDescent="0.25">
      <c r="A169">
        <v>164</v>
      </c>
      <c r="B169">
        <v>308101.90000000002</v>
      </c>
      <c r="C169">
        <v>311048.7</v>
      </c>
      <c r="D169">
        <v>4.5559200000000001E-2</v>
      </c>
      <c r="E169">
        <v>164</v>
      </c>
      <c r="F169">
        <v>307596.5</v>
      </c>
      <c r="G169">
        <v>310546.8</v>
      </c>
      <c r="H169">
        <v>4.5559200000000001E-2</v>
      </c>
      <c r="I169">
        <v>164</v>
      </c>
      <c r="J169">
        <v>307065.3</v>
      </c>
      <c r="K169">
        <v>310019.90000000002</v>
      </c>
      <c r="L169">
        <v>4.5559200000000001E-2</v>
      </c>
      <c r="M169">
        <v>164</v>
      </c>
      <c r="N169">
        <v>307283.90000000002</v>
      </c>
      <c r="O169">
        <v>310237.90000000002</v>
      </c>
      <c r="P169">
        <v>4.5559200000000001E-2</v>
      </c>
      <c r="R169">
        <v>338734</v>
      </c>
      <c r="S169">
        <v>306249.8</v>
      </c>
      <c r="T169">
        <v>347461.58399999997</v>
      </c>
      <c r="U169">
        <v>322821.65999999997</v>
      </c>
    </row>
    <row r="170" spans="1:21" x14ac:dyDescent="0.25">
      <c r="A170">
        <v>165</v>
      </c>
      <c r="B170">
        <v>306547.90000000002</v>
      </c>
      <c r="C170">
        <v>308875.40000000002</v>
      </c>
      <c r="D170">
        <v>4.5837000000000003E-2</v>
      </c>
      <c r="E170">
        <v>165</v>
      </c>
      <c r="F170">
        <v>306127.7</v>
      </c>
      <c r="G170">
        <v>308457.3</v>
      </c>
      <c r="H170">
        <v>4.5837000000000003E-2</v>
      </c>
      <c r="I170">
        <v>165</v>
      </c>
      <c r="J170">
        <v>305479.8</v>
      </c>
      <c r="K170">
        <v>307813.5</v>
      </c>
      <c r="L170">
        <v>4.5837000000000003E-2</v>
      </c>
      <c r="M170">
        <v>165</v>
      </c>
      <c r="N170">
        <v>305692.2</v>
      </c>
      <c r="O170">
        <v>308025.7</v>
      </c>
      <c r="P170">
        <v>4.5837000000000003E-2</v>
      </c>
      <c r="R170">
        <v>336615.1</v>
      </c>
      <c r="S170">
        <v>303260.79999999999</v>
      </c>
      <c r="T170">
        <v>344029.685</v>
      </c>
      <c r="U170">
        <v>320061.28999999998</v>
      </c>
    </row>
    <row r="171" spans="1:21" x14ac:dyDescent="0.25">
      <c r="A171">
        <v>166</v>
      </c>
      <c r="B171">
        <v>304987</v>
      </c>
      <c r="C171">
        <v>306721.3</v>
      </c>
      <c r="D171">
        <v>4.6114799999999997E-2</v>
      </c>
      <c r="E171">
        <v>166</v>
      </c>
      <c r="F171">
        <v>304671.09999999998</v>
      </c>
      <c r="G171">
        <v>306406.3</v>
      </c>
      <c r="H171">
        <v>4.6114799999999997E-2</v>
      </c>
      <c r="I171">
        <v>166</v>
      </c>
      <c r="J171">
        <v>303879.90000000002</v>
      </c>
      <c r="K171">
        <v>305618.90000000002</v>
      </c>
      <c r="L171">
        <v>4.6114799999999997E-2</v>
      </c>
      <c r="M171">
        <v>166</v>
      </c>
      <c r="N171">
        <v>304106.40000000002</v>
      </c>
      <c r="O171">
        <v>305845.2</v>
      </c>
      <c r="P171">
        <v>4.6114799999999997E-2</v>
      </c>
      <c r="R171">
        <v>332775.8</v>
      </c>
      <c r="S171">
        <v>302195.8</v>
      </c>
      <c r="T171">
        <v>339412.46799999999</v>
      </c>
      <c r="U171">
        <v>317685.08999999997</v>
      </c>
    </row>
    <row r="172" spans="1:21" x14ac:dyDescent="0.25">
      <c r="A172">
        <v>167</v>
      </c>
      <c r="B172">
        <v>303512.8</v>
      </c>
      <c r="C172">
        <v>304723.90000000002</v>
      </c>
      <c r="D172">
        <v>4.6392599999999999E-2</v>
      </c>
      <c r="E172">
        <v>167</v>
      </c>
      <c r="F172">
        <v>303299.59999999998</v>
      </c>
      <c r="G172">
        <v>304511</v>
      </c>
      <c r="H172">
        <v>4.6392599999999999E-2</v>
      </c>
      <c r="I172">
        <v>167</v>
      </c>
      <c r="J172">
        <v>302370.90000000002</v>
      </c>
      <c r="K172">
        <v>303585.3</v>
      </c>
      <c r="L172">
        <v>4.6392599999999999E-2</v>
      </c>
      <c r="M172">
        <v>167</v>
      </c>
      <c r="N172">
        <v>302624.59999999998</v>
      </c>
      <c r="O172">
        <v>303838.8</v>
      </c>
      <c r="P172">
        <v>4.6392599999999999E-2</v>
      </c>
      <c r="R172">
        <v>328369.5</v>
      </c>
      <c r="S172">
        <v>303103.40000000002</v>
      </c>
      <c r="T172">
        <v>334271.78499999997</v>
      </c>
      <c r="U172">
        <v>315370.19</v>
      </c>
    </row>
    <row r="173" spans="1:21" x14ac:dyDescent="0.25">
      <c r="A173">
        <v>168</v>
      </c>
      <c r="B173">
        <v>302369.40000000002</v>
      </c>
      <c r="C173">
        <v>303190.8</v>
      </c>
      <c r="D173">
        <v>4.6670400000000001E-2</v>
      </c>
      <c r="E173">
        <v>168</v>
      </c>
      <c r="F173">
        <v>302240.8</v>
      </c>
      <c r="G173">
        <v>303062.3</v>
      </c>
      <c r="H173">
        <v>4.6670400000000001E-2</v>
      </c>
      <c r="I173">
        <v>168</v>
      </c>
      <c r="J173">
        <v>301223.2</v>
      </c>
      <c r="K173">
        <v>302046.8</v>
      </c>
      <c r="L173">
        <v>4.6670400000000001E-2</v>
      </c>
      <c r="M173">
        <v>168</v>
      </c>
      <c r="N173">
        <v>301506.7</v>
      </c>
      <c r="O173">
        <v>302330.2</v>
      </c>
      <c r="P173">
        <v>4.6670400000000001E-2</v>
      </c>
      <c r="R173">
        <v>323910.90000000002</v>
      </c>
      <c r="S173">
        <v>302414</v>
      </c>
      <c r="T173">
        <v>328710.58500000002</v>
      </c>
      <c r="U173">
        <v>311190.46500000003</v>
      </c>
    </row>
    <row r="174" spans="1:21" x14ac:dyDescent="0.25">
      <c r="A174">
        <v>169</v>
      </c>
      <c r="B174">
        <v>301140.09999999998</v>
      </c>
      <c r="C174">
        <v>301608.2</v>
      </c>
      <c r="D174">
        <v>4.6948200000000002E-2</v>
      </c>
      <c r="E174">
        <v>169</v>
      </c>
      <c r="F174">
        <v>301073.2</v>
      </c>
      <c r="G174">
        <v>301541.3</v>
      </c>
      <c r="H174">
        <v>4.6948200000000002E-2</v>
      </c>
      <c r="I174">
        <v>169</v>
      </c>
      <c r="J174">
        <v>299994.7</v>
      </c>
      <c r="K174">
        <v>300463.90000000002</v>
      </c>
      <c r="L174">
        <v>4.6948200000000002E-2</v>
      </c>
      <c r="M174">
        <v>169</v>
      </c>
      <c r="N174">
        <v>300295.3</v>
      </c>
      <c r="O174">
        <v>300764.7</v>
      </c>
      <c r="P174">
        <v>4.6948200000000002E-2</v>
      </c>
      <c r="R174">
        <v>319003.7</v>
      </c>
      <c r="S174">
        <v>298096.2</v>
      </c>
      <c r="T174">
        <v>322254.96400000004</v>
      </c>
      <c r="U174">
        <v>304521.62400000001</v>
      </c>
    </row>
    <row r="175" spans="1:21" x14ac:dyDescent="0.25">
      <c r="A175">
        <v>170</v>
      </c>
      <c r="B175">
        <v>299984.59999999998</v>
      </c>
      <c r="C175">
        <v>300176.5</v>
      </c>
      <c r="D175">
        <v>4.7225999999999997E-2</v>
      </c>
      <c r="E175">
        <v>170</v>
      </c>
      <c r="F175">
        <v>299959.8</v>
      </c>
      <c r="G175">
        <v>300151.5</v>
      </c>
      <c r="H175">
        <v>4.7225999999999997E-2</v>
      </c>
      <c r="I175">
        <v>170</v>
      </c>
      <c r="J175">
        <v>298824.40000000002</v>
      </c>
      <c r="K175">
        <v>299016.7</v>
      </c>
      <c r="L175">
        <v>4.7225999999999997E-2</v>
      </c>
      <c r="M175">
        <v>170</v>
      </c>
      <c r="N175">
        <v>299148</v>
      </c>
      <c r="O175">
        <v>299340.40000000002</v>
      </c>
      <c r="P175">
        <v>4.7225999999999997E-2</v>
      </c>
      <c r="R175">
        <v>318732</v>
      </c>
      <c r="S175">
        <v>293712.2</v>
      </c>
      <c r="T175">
        <v>320685.391</v>
      </c>
      <c r="U175">
        <v>298082.80700000003</v>
      </c>
    </row>
    <row r="176" spans="1:21" x14ac:dyDescent="0.25">
      <c r="A176">
        <v>171</v>
      </c>
      <c r="B176">
        <v>298949.7</v>
      </c>
      <c r="C176">
        <v>299003.7</v>
      </c>
      <c r="D176">
        <v>4.7503799999999999E-2</v>
      </c>
      <c r="E176">
        <v>171</v>
      </c>
      <c r="F176">
        <v>298959.3</v>
      </c>
      <c r="G176">
        <v>299013.40000000002</v>
      </c>
      <c r="H176">
        <v>4.7503799999999999E-2</v>
      </c>
      <c r="I176">
        <v>171</v>
      </c>
      <c r="J176">
        <v>297758.40000000002</v>
      </c>
      <c r="K176">
        <v>297812.5</v>
      </c>
      <c r="L176">
        <v>4.7503799999999999E-2</v>
      </c>
      <c r="M176">
        <v>171</v>
      </c>
      <c r="N176">
        <v>298105.7</v>
      </c>
      <c r="O176">
        <v>298160</v>
      </c>
      <c r="P176">
        <v>4.7503799999999999E-2</v>
      </c>
      <c r="R176">
        <v>320695.40000000002</v>
      </c>
      <c r="S176">
        <v>292025.90000000002</v>
      </c>
      <c r="T176">
        <v>322039.897</v>
      </c>
      <c r="U176">
        <v>295068.391</v>
      </c>
    </row>
    <row r="177" spans="1:21" x14ac:dyDescent="0.25">
      <c r="A177">
        <v>172</v>
      </c>
      <c r="B177">
        <v>298590.59999999998</v>
      </c>
      <c r="C177">
        <v>298607.3</v>
      </c>
      <c r="D177">
        <v>4.77816E-2</v>
      </c>
      <c r="E177">
        <v>172</v>
      </c>
      <c r="F177">
        <v>298627.5</v>
      </c>
      <c r="G177">
        <v>298644.5</v>
      </c>
      <c r="H177">
        <v>4.77816E-2</v>
      </c>
      <c r="I177">
        <v>172</v>
      </c>
      <c r="J177">
        <v>297425.40000000002</v>
      </c>
      <c r="K177">
        <v>297442.2</v>
      </c>
      <c r="L177">
        <v>4.77816E-2</v>
      </c>
      <c r="M177">
        <v>172</v>
      </c>
      <c r="N177">
        <v>297785.90000000002</v>
      </c>
      <c r="O177">
        <v>297802.90000000002</v>
      </c>
      <c r="P177">
        <v>4.77816E-2</v>
      </c>
      <c r="R177">
        <v>321676.7</v>
      </c>
      <c r="S177">
        <v>293678.7</v>
      </c>
      <c r="T177">
        <v>322660.56910000002</v>
      </c>
      <c r="U177">
        <v>296498.88699999999</v>
      </c>
    </row>
    <row r="178" spans="1:21" x14ac:dyDescent="0.25">
      <c r="A178">
        <v>173</v>
      </c>
      <c r="B178">
        <v>298709.40000000002</v>
      </c>
      <c r="C178">
        <v>298711.5</v>
      </c>
      <c r="D178">
        <v>4.8059400000000002E-2</v>
      </c>
      <c r="E178">
        <v>173</v>
      </c>
      <c r="F178">
        <v>298766.40000000002</v>
      </c>
      <c r="G178">
        <v>298768.8</v>
      </c>
      <c r="H178">
        <v>4.8059400000000002E-2</v>
      </c>
      <c r="I178">
        <v>173</v>
      </c>
      <c r="J178">
        <v>297586</v>
      </c>
      <c r="K178">
        <v>297588.5</v>
      </c>
      <c r="L178">
        <v>4.8059400000000002E-2</v>
      </c>
      <c r="M178">
        <v>173</v>
      </c>
      <c r="N178">
        <v>297957.3</v>
      </c>
      <c r="O178">
        <v>297959.7</v>
      </c>
      <c r="P178">
        <v>4.8059400000000002E-2</v>
      </c>
      <c r="R178">
        <v>323051.40000000002</v>
      </c>
      <c r="S178">
        <v>297727.3</v>
      </c>
      <c r="T178">
        <v>323857.66640000005</v>
      </c>
      <c r="U178">
        <v>300438.842</v>
      </c>
    </row>
    <row r="179" spans="1:21" x14ac:dyDescent="0.25">
      <c r="A179">
        <v>174</v>
      </c>
      <c r="B179">
        <v>298723.5</v>
      </c>
      <c r="C179">
        <v>298724</v>
      </c>
      <c r="D179">
        <v>4.8337199999999997E-2</v>
      </c>
      <c r="E179">
        <v>174</v>
      </c>
      <c r="F179">
        <v>298802.3</v>
      </c>
      <c r="G179">
        <v>298803.3</v>
      </c>
      <c r="H179">
        <v>4.8337199999999997E-2</v>
      </c>
      <c r="I179">
        <v>174</v>
      </c>
      <c r="J179">
        <v>297623</v>
      </c>
      <c r="K179">
        <v>297624.3</v>
      </c>
      <c r="L179">
        <v>4.8337199999999997E-2</v>
      </c>
      <c r="M179">
        <v>174</v>
      </c>
      <c r="N179">
        <v>298002.90000000002</v>
      </c>
      <c r="O179">
        <v>298004.2</v>
      </c>
      <c r="P179">
        <v>4.8337199999999997E-2</v>
      </c>
      <c r="R179">
        <v>324899.3</v>
      </c>
      <c r="S179">
        <v>300577.8</v>
      </c>
      <c r="T179">
        <v>325567.69589999999</v>
      </c>
      <c r="U179">
        <v>302670.35699999996</v>
      </c>
    </row>
    <row r="180" spans="1:21" x14ac:dyDescent="0.25">
      <c r="A180">
        <v>175</v>
      </c>
      <c r="B180">
        <v>298739.8</v>
      </c>
      <c r="C180">
        <v>298739.7</v>
      </c>
      <c r="D180">
        <v>4.8614999999999998E-2</v>
      </c>
      <c r="E180">
        <v>175</v>
      </c>
      <c r="F180">
        <v>298843.09999999998</v>
      </c>
      <c r="G180">
        <v>298843.7</v>
      </c>
      <c r="H180">
        <v>4.8614999999999998E-2</v>
      </c>
      <c r="I180">
        <v>175</v>
      </c>
      <c r="J180">
        <v>297665.8</v>
      </c>
      <c r="K180">
        <v>297666.7</v>
      </c>
      <c r="L180">
        <v>4.8614999999999998E-2</v>
      </c>
      <c r="M180">
        <v>175</v>
      </c>
      <c r="N180">
        <v>298049.5</v>
      </c>
      <c r="O180">
        <v>298050.5</v>
      </c>
      <c r="P180">
        <v>4.8614999999999998E-2</v>
      </c>
      <c r="R180">
        <v>327108.3</v>
      </c>
      <c r="S180">
        <v>301494.09999999998</v>
      </c>
      <c r="T180">
        <v>327579.31779999996</v>
      </c>
      <c r="U180">
        <v>303083.375</v>
      </c>
    </row>
    <row r="181" spans="1:21" x14ac:dyDescent="0.25">
      <c r="A181">
        <v>176</v>
      </c>
      <c r="B181">
        <v>298752.5</v>
      </c>
      <c r="C181">
        <v>298752.3</v>
      </c>
      <c r="D181">
        <v>4.88928E-2</v>
      </c>
      <c r="E181">
        <v>176</v>
      </c>
      <c r="F181">
        <v>298883.5</v>
      </c>
      <c r="G181">
        <v>298884</v>
      </c>
      <c r="H181">
        <v>4.88928E-2</v>
      </c>
      <c r="I181">
        <v>176</v>
      </c>
      <c r="J181">
        <v>297713</v>
      </c>
      <c r="K181">
        <v>297713.59999999998</v>
      </c>
      <c r="L181">
        <v>4.88928E-2</v>
      </c>
      <c r="M181">
        <v>176</v>
      </c>
      <c r="N181">
        <v>298094.7</v>
      </c>
      <c r="O181">
        <v>298095.40000000002</v>
      </c>
      <c r="P181">
        <v>4.88928E-2</v>
      </c>
      <c r="R181">
        <v>328613.59999999998</v>
      </c>
      <c r="S181">
        <v>301755.5</v>
      </c>
      <c r="T181">
        <v>328872.9607</v>
      </c>
      <c r="U181">
        <v>303057.255</v>
      </c>
    </row>
    <row r="182" spans="1:21" x14ac:dyDescent="0.25">
      <c r="A182">
        <v>177</v>
      </c>
      <c r="B182">
        <v>298758.3</v>
      </c>
      <c r="C182">
        <v>298758.40000000002</v>
      </c>
      <c r="D182">
        <v>4.9170600000000002E-2</v>
      </c>
      <c r="E182">
        <v>177</v>
      </c>
      <c r="F182">
        <v>298919.3</v>
      </c>
      <c r="G182">
        <v>298919.90000000002</v>
      </c>
      <c r="H182">
        <v>4.9170600000000002E-2</v>
      </c>
      <c r="I182">
        <v>177</v>
      </c>
      <c r="J182">
        <v>297756</v>
      </c>
      <c r="K182">
        <v>297756.59999999998</v>
      </c>
      <c r="L182">
        <v>4.9170600000000002E-2</v>
      </c>
      <c r="M182">
        <v>177</v>
      </c>
      <c r="N182">
        <v>298133.40000000002</v>
      </c>
      <c r="O182">
        <v>298134.09999999998</v>
      </c>
      <c r="P182">
        <v>4.9170600000000002E-2</v>
      </c>
      <c r="R182">
        <v>328873</v>
      </c>
      <c r="S182">
        <v>301988</v>
      </c>
      <c r="T182">
        <v>329029.63949999999</v>
      </c>
      <c r="U182">
        <v>303101.79300000001</v>
      </c>
    </row>
    <row r="183" spans="1:21" x14ac:dyDescent="0.25">
      <c r="A183">
        <v>178</v>
      </c>
      <c r="B183">
        <v>298756.8</v>
      </c>
      <c r="C183">
        <v>298757.09999999998</v>
      </c>
      <c r="D183">
        <v>4.9448400000000003E-2</v>
      </c>
      <c r="E183">
        <v>178</v>
      </c>
      <c r="F183">
        <v>298949.09999999998</v>
      </c>
      <c r="G183">
        <v>298949.90000000002</v>
      </c>
      <c r="H183">
        <v>4.9448400000000003E-2</v>
      </c>
      <c r="I183">
        <v>178</v>
      </c>
      <c r="J183">
        <v>297789.7</v>
      </c>
      <c r="K183">
        <v>297790.59999999998</v>
      </c>
      <c r="L183">
        <v>4.9448400000000003E-2</v>
      </c>
      <c r="M183">
        <v>178</v>
      </c>
      <c r="N183">
        <v>298162.09999999998</v>
      </c>
      <c r="O183">
        <v>298162.90000000002</v>
      </c>
      <c r="P183">
        <v>4.9448400000000003E-2</v>
      </c>
      <c r="R183">
        <v>328149.7</v>
      </c>
      <c r="S183">
        <v>302212.90000000002</v>
      </c>
      <c r="T183">
        <v>328305.5577</v>
      </c>
      <c r="U183">
        <v>303219.31300000002</v>
      </c>
    </row>
    <row r="184" spans="1:21" x14ac:dyDescent="0.25">
      <c r="A184">
        <v>179</v>
      </c>
      <c r="B184">
        <v>298748.59999999998</v>
      </c>
      <c r="C184">
        <v>298749.3</v>
      </c>
      <c r="D184">
        <v>4.9726199999999998E-2</v>
      </c>
      <c r="E184">
        <v>179</v>
      </c>
      <c r="F184">
        <v>298972.79999999999</v>
      </c>
      <c r="G184">
        <v>298973.8</v>
      </c>
      <c r="H184">
        <v>4.9726199999999998E-2</v>
      </c>
      <c r="I184">
        <v>179</v>
      </c>
      <c r="J184">
        <v>297813.7</v>
      </c>
      <c r="K184">
        <v>297815.09999999998</v>
      </c>
      <c r="L184">
        <v>4.9726199999999998E-2</v>
      </c>
      <c r="M184">
        <v>179</v>
      </c>
      <c r="N184">
        <v>298180.09999999998</v>
      </c>
      <c r="O184">
        <v>298181.3</v>
      </c>
      <c r="P184">
        <v>4.9726199999999998E-2</v>
      </c>
      <c r="R184">
        <v>326873.8</v>
      </c>
      <c r="S184">
        <v>302162.8</v>
      </c>
      <c r="T184">
        <v>327036.19789999997</v>
      </c>
      <c r="U184">
        <v>303125.2403</v>
      </c>
    </row>
    <row r="185" spans="1:21" x14ac:dyDescent="0.25">
      <c r="A185">
        <v>180</v>
      </c>
      <c r="B185">
        <v>298734.8</v>
      </c>
      <c r="C185">
        <v>298735.90000000002</v>
      </c>
      <c r="D185">
        <v>5.0004E-2</v>
      </c>
      <c r="E185">
        <v>180</v>
      </c>
      <c r="F185">
        <v>298990.3</v>
      </c>
      <c r="G185">
        <v>298991.5</v>
      </c>
      <c r="H185">
        <v>5.0004E-2</v>
      </c>
      <c r="I185">
        <v>180</v>
      </c>
      <c r="J185">
        <v>297830</v>
      </c>
      <c r="K185">
        <v>297832.2</v>
      </c>
      <c r="L185">
        <v>5.0004E-2</v>
      </c>
      <c r="M185">
        <v>180</v>
      </c>
      <c r="N185">
        <v>298189</v>
      </c>
      <c r="O185">
        <v>298191</v>
      </c>
      <c r="P185">
        <v>5.0004E-2</v>
      </c>
      <c r="R185">
        <v>325591.59999999998</v>
      </c>
      <c r="S185">
        <v>301730.5</v>
      </c>
      <c r="T185">
        <v>325736.75549999997</v>
      </c>
      <c r="U185">
        <v>302607.46110000001</v>
      </c>
    </row>
    <row r="186" spans="1:21" x14ac:dyDescent="0.25">
      <c r="A186">
        <v>181</v>
      </c>
      <c r="B186">
        <v>298715.8</v>
      </c>
      <c r="C186">
        <v>298717.3</v>
      </c>
      <c r="D186">
        <v>5.0281800000000001E-2</v>
      </c>
      <c r="E186">
        <v>181</v>
      </c>
      <c r="F186">
        <v>299001.5</v>
      </c>
      <c r="G186">
        <v>299003</v>
      </c>
      <c r="H186">
        <v>5.0281800000000001E-2</v>
      </c>
      <c r="I186">
        <v>181</v>
      </c>
      <c r="J186">
        <v>297841.59999999998</v>
      </c>
      <c r="K186">
        <v>297844.59999999998</v>
      </c>
      <c r="L186">
        <v>5.0281800000000001E-2</v>
      </c>
      <c r="M186">
        <v>181</v>
      </c>
      <c r="N186">
        <v>298190.59999999998</v>
      </c>
      <c r="O186">
        <v>298193.40000000002</v>
      </c>
      <c r="P186">
        <v>5.0281800000000001E-2</v>
      </c>
      <c r="R186">
        <v>324505.7</v>
      </c>
      <c r="S186">
        <v>301195.8</v>
      </c>
      <c r="T186">
        <v>324623.38420000003</v>
      </c>
      <c r="U186">
        <v>301946.3762</v>
      </c>
    </row>
    <row r="187" spans="1:21" x14ac:dyDescent="0.25">
      <c r="A187">
        <v>182</v>
      </c>
      <c r="B187">
        <v>298692.7</v>
      </c>
      <c r="C187">
        <v>298694.8</v>
      </c>
      <c r="D187">
        <v>5.0559600000000003E-2</v>
      </c>
      <c r="E187">
        <v>182</v>
      </c>
      <c r="F187">
        <v>299006.59999999998</v>
      </c>
      <c r="G187">
        <v>299008.5</v>
      </c>
      <c r="H187">
        <v>5.0559600000000003E-2</v>
      </c>
      <c r="I187">
        <v>182</v>
      </c>
      <c r="J187">
        <v>297851.09999999998</v>
      </c>
      <c r="K187">
        <v>297855.2</v>
      </c>
      <c r="L187">
        <v>5.0559600000000003E-2</v>
      </c>
      <c r="M187">
        <v>182</v>
      </c>
      <c r="N187">
        <v>298186.40000000002</v>
      </c>
      <c r="O187">
        <v>298190.2</v>
      </c>
      <c r="P187">
        <v>5.0559600000000003E-2</v>
      </c>
      <c r="R187">
        <v>323634.09999999998</v>
      </c>
      <c r="S187">
        <v>300719.5</v>
      </c>
      <c r="T187">
        <v>323722.98462999996</v>
      </c>
      <c r="U187">
        <v>301324.09629999998</v>
      </c>
    </row>
    <row r="188" spans="1:21" x14ac:dyDescent="0.25">
      <c r="A188">
        <v>183</v>
      </c>
      <c r="B188">
        <v>298666.7</v>
      </c>
      <c r="C188">
        <v>298669.5</v>
      </c>
      <c r="D188">
        <v>5.0837399999999998E-2</v>
      </c>
      <c r="E188">
        <v>183</v>
      </c>
      <c r="F188">
        <v>299006.3</v>
      </c>
      <c r="G188">
        <v>299008.8</v>
      </c>
      <c r="H188">
        <v>5.0837399999999998E-2</v>
      </c>
      <c r="I188">
        <v>183</v>
      </c>
      <c r="J188">
        <v>297861</v>
      </c>
      <c r="K188">
        <v>297866.40000000002</v>
      </c>
      <c r="L188">
        <v>5.0837399999999998E-2</v>
      </c>
      <c r="M188">
        <v>183</v>
      </c>
      <c r="N188">
        <v>298178.40000000002</v>
      </c>
      <c r="O188">
        <v>298183.3</v>
      </c>
      <c r="P188">
        <v>5.0837399999999998E-2</v>
      </c>
      <c r="R188">
        <v>322994.90000000002</v>
      </c>
      <c r="S188">
        <v>300121.3</v>
      </c>
      <c r="T188">
        <v>323057.79520000005</v>
      </c>
      <c r="U188">
        <v>300588.99209999997</v>
      </c>
    </row>
    <row r="189" spans="1:21" x14ac:dyDescent="0.25">
      <c r="A189">
        <v>184</v>
      </c>
      <c r="B189">
        <v>298639.09999999998</v>
      </c>
      <c r="C189">
        <v>298642.7</v>
      </c>
      <c r="D189">
        <v>5.11152E-2</v>
      </c>
      <c r="E189">
        <v>184</v>
      </c>
      <c r="F189">
        <v>299001.40000000002</v>
      </c>
      <c r="G189">
        <v>299004.7</v>
      </c>
      <c r="H189">
        <v>5.11152E-2</v>
      </c>
      <c r="I189">
        <v>184</v>
      </c>
      <c r="J189">
        <v>297873.40000000002</v>
      </c>
      <c r="K189">
        <v>297880.09999999998</v>
      </c>
      <c r="L189">
        <v>5.11152E-2</v>
      </c>
      <c r="M189">
        <v>184</v>
      </c>
      <c r="N189">
        <v>298168.09999999998</v>
      </c>
      <c r="O189">
        <v>298174.2</v>
      </c>
      <c r="P189">
        <v>5.11152E-2</v>
      </c>
      <c r="R189">
        <v>322600.3</v>
      </c>
      <c r="S189">
        <v>299294.5</v>
      </c>
      <c r="T189">
        <v>322641.79876999999</v>
      </c>
      <c r="U189">
        <v>299673.43310000002</v>
      </c>
    </row>
    <row r="190" spans="1:21" x14ac:dyDescent="0.25">
      <c r="A190">
        <v>185</v>
      </c>
      <c r="B190">
        <v>298610.59999999998</v>
      </c>
      <c r="C190">
        <v>298614.90000000002</v>
      </c>
      <c r="D190">
        <v>5.1393000000000001E-2</v>
      </c>
      <c r="E190">
        <v>185</v>
      </c>
      <c r="F190">
        <v>298992.8</v>
      </c>
      <c r="G190">
        <v>298996.8</v>
      </c>
      <c r="H190">
        <v>5.1393000000000001E-2</v>
      </c>
      <c r="I190">
        <v>185</v>
      </c>
      <c r="J190">
        <v>297889.2</v>
      </c>
      <c r="K190">
        <v>297897.5</v>
      </c>
      <c r="L190">
        <v>5.1393000000000001E-2</v>
      </c>
      <c r="M190">
        <v>185</v>
      </c>
      <c r="N190">
        <v>298156.79999999999</v>
      </c>
      <c r="O190">
        <v>298164.09999999998</v>
      </c>
      <c r="P190">
        <v>5.1393000000000001E-2</v>
      </c>
      <c r="R190">
        <v>322406.90000000002</v>
      </c>
      <c r="S190">
        <v>298259.40000000002</v>
      </c>
      <c r="T190">
        <v>322431.56580000004</v>
      </c>
      <c r="U190">
        <v>298608.4963</v>
      </c>
    </row>
    <row r="191" spans="1:21" x14ac:dyDescent="0.25">
      <c r="A191">
        <v>186</v>
      </c>
      <c r="B191">
        <v>298581.90000000002</v>
      </c>
      <c r="C191">
        <v>298586.8</v>
      </c>
      <c r="D191">
        <v>5.1670800000000003E-2</v>
      </c>
      <c r="E191">
        <v>186</v>
      </c>
      <c r="F191">
        <v>298980.90000000002</v>
      </c>
      <c r="G191">
        <v>298985.7</v>
      </c>
      <c r="H191">
        <v>5.1670800000000003E-2</v>
      </c>
      <c r="I191">
        <v>186</v>
      </c>
      <c r="J191">
        <v>297908.59999999998</v>
      </c>
      <c r="K191">
        <v>297918.40000000002</v>
      </c>
      <c r="L191">
        <v>5.1670800000000003E-2</v>
      </c>
      <c r="M191">
        <v>186</v>
      </c>
      <c r="N191">
        <v>298145.5</v>
      </c>
      <c r="O191">
        <v>298154.09999999998</v>
      </c>
      <c r="P191">
        <v>5.1670800000000003E-2</v>
      </c>
      <c r="R191">
        <v>322353.7</v>
      </c>
      <c r="S191">
        <v>297114.8</v>
      </c>
      <c r="T191">
        <v>322366.77981000004</v>
      </c>
      <c r="U191">
        <v>297495.59539999999</v>
      </c>
    </row>
    <row r="192" spans="1:21" x14ac:dyDescent="0.25">
      <c r="A192">
        <v>187</v>
      </c>
      <c r="B192">
        <v>298553.5</v>
      </c>
      <c r="C192">
        <v>298559</v>
      </c>
      <c r="D192">
        <v>5.1948599999999998E-2</v>
      </c>
      <c r="E192">
        <v>187</v>
      </c>
      <c r="F192">
        <v>298966.3</v>
      </c>
      <c r="G192">
        <v>298971.8</v>
      </c>
      <c r="H192">
        <v>5.1948599999999998E-2</v>
      </c>
      <c r="I192">
        <v>187</v>
      </c>
      <c r="J192">
        <v>297930.2</v>
      </c>
      <c r="K192">
        <v>297941.8</v>
      </c>
      <c r="L192">
        <v>5.1948599999999998E-2</v>
      </c>
      <c r="M192">
        <v>187</v>
      </c>
      <c r="N192">
        <v>298134.90000000002</v>
      </c>
      <c r="O192">
        <v>298144.8</v>
      </c>
      <c r="P192">
        <v>5.1948599999999998E-2</v>
      </c>
      <c r="R192">
        <v>322398.2</v>
      </c>
      <c r="S192">
        <v>295966.3</v>
      </c>
      <c r="T192">
        <v>322406.15810400003</v>
      </c>
      <c r="U192">
        <v>296446.3518</v>
      </c>
    </row>
    <row r="193" spans="1:21" x14ac:dyDescent="0.25">
      <c r="A193">
        <v>188</v>
      </c>
      <c r="B193">
        <v>298526.09999999998</v>
      </c>
      <c r="C193">
        <v>298532</v>
      </c>
      <c r="D193">
        <v>5.2226399999999999E-2</v>
      </c>
      <c r="E193">
        <v>188</v>
      </c>
      <c r="F193">
        <v>298949.3</v>
      </c>
      <c r="G193">
        <v>298955.3</v>
      </c>
      <c r="H193">
        <v>5.2226399999999999E-2</v>
      </c>
      <c r="I193">
        <v>188</v>
      </c>
      <c r="J193">
        <v>297952.2</v>
      </c>
      <c r="K193">
        <v>297965.59999999998</v>
      </c>
      <c r="L193">
        <v>5.2226399999999999E-2</v>
      </c>
      <c r="M193">
        <v>188</v>
      </c>
      <c r="N193">
        <v>298125.2</v>
      </c>
      <c r="O193">
        <v>298136.40000000002</v>
      </c>
      <c r="P193">
        <v>5.2226399999999999E-2</v>
      </c>
      <c r="R193">
        <v>322466.59999999998</v>
      </c>
      <c r="S193">
        <v>294950</v>
      </c>
      <c r="T193">
        <v>322478.60817999998</v>
      </c>
      <c r="U193">
        <v>295571.62239999999</v>
      </c>
    </row>
    <row r="194" spans="1:21" x14ac:dyDescent="0.25">
      <c r="A194">
        <v>189</v>
      </c>
      <c r="B194">
        <v>298500.2</v>
      </c>
      <c r="C194">
        <v>298506.5</v>
      </c>
      <c r="D194">
        <v>5.2504200000000001E-2</v>
      </c>
      <c r="E194">
        <v>189</v>
      </c>
      <c r="F194">
        <v>298930.3</v>
      </c>
      <c r="G194">
        <v>298936.90000000002</v>
      </c>
      <c r="H194">
        <v>5.2504200000000001E-2</v>
      </c>
      <c r="I194">
        <v>189</v>
      </c>
      <c r="J194">
        <v>297972.09999999998</v>
      </c>
      <c r="K194">
        <v>297987.5</v>
      </c>
      <c r="L194">
        <v>5.2504200000000001E-2</v>
      </c>
      <c r="M194">
        <v>189</v>
      </c>
      <c r="N194">
        <v>298116.3</v>
      </c>
      <c r="O194">
        <v>298128.90000000002</v>
      </c>
      <c r="P194">
        <v>5.2504200000000001E-2</v>
      </c>
      <c r="R194">
        <v>322341.2</v>
      </c>
      <c r="S194">
        <v>294336.90000000002</v>
      </c>
      <c r="T194">
        <v>322372.82627000002</v>
      </c>
      <c r="U194">
        <v>295081.89540000004</v>
      </c>
    </row>
    <row r="195" spans="1:21" x14ac:dyDescent="0.25">
      <c r="A195">
        <v>190</v>
      </c>
      <c r="B195">
        <v>298477</v>
      </c>
      <c r="C195">
        <v>298483.59999999998</v>
      </c>
      <c r="D195">
        <v>5.2782000000000003E-2</v>
      </c>
      <c r="E195">
        <v>190</v>
      </c>
      <c r="F195">
        <v>298909.8</v>
      </c>
      <c r="G195">
        <v>298916.90000000002</v>
      </c>
      <c r="H195">
        <v>5.2782000000000003E-2</v>
      </c>
      <c r="I195">
        <v>190</v>
      </c>
      <c r="J195">
        <v>297987.8</v>
      </c>
      <c r="K195">
        <v>298005.40000000002</v>
      </c>
      <c r="L195">
        <v>5.2782000000000003E-2</v>
      </c>
      <c r="M195">
        <v>190</v>
      </c>
      <c r="N195">
        <v>298107.90000000002</v>
      </c>
      <c r="O195">
        <v>298121.8</v>
      </c>
      <c r="P195">
        <v>5.2782000000000003E-2</v>
      </c>
      <c r="R195">
        <v>321641.09999999998</v>
      </c>
      <c r="S195">
        <v>294231.59999999998</v>
      </c>
      <c r="T195">
        <v>321710.61862999998</v>
      </c>
      <c r="U195">
        <v>294981.59789999999</v>
      </c>
    </row>
    <row r="196" spans="1:21" x14ac:dyDescent="0.25">
      <c r="A196">
        <v>191</v>
      </c>
      <c r="B196">
        <v>298457.8</v>
      </c>
      <c r="C196">
        <v>298464.59999999998</v>
      </c>
      <c r="D196">
        <v>5.3059799999999997E-2</v>
      </c>
      <c r="E196">
        <v>191</v>
      </c>
      <c r="F196">
        <v>298888.40000000002</v>
      </c>
      <c r="G196">
        <v>298895.90000000002</v>
      </c>
      <c r="H196">
        <v>5.3059799999999997E-2</v>
      </c>
      <c r="I196">
        <v>191</v>
      </c>
      <c r="J196">
        <v>297997.59999999998</v>
      </c>
      <c r="K196">
        <v>298017.40000000002</v>
      </c>
      <c r="L196">
        <v>5.3059799999999997E-2</v>
      </c>
      <c r="M196">
        <v>191</v>
      </c>
      <c r="N196">
        <v>298099.20000000001</v>
      </c>
      <c r="O196">
        <v>298114.5</v>
      </c>
      <c r="P196">
        <v>5.3059799999999997E-2</v>
      </c>
      <c r="R196">
        <v>320456.2</v>
      </c>
      <c r="S196">
        <v>294403.20000000001</v>
      </c>
      <c r="T196">
        <v>320544.64679999999</v>
      </c>
      <c r="U196">
        <v>294992.00030000001</v>
      </c>
    </row>
    <row r="197" spans="1:21" x14ac:dyDescent="0.25">
      <c r="A197">
        <v>192</v>
      </c>
      <c r="B197">
        <v>298444.2</v>
      </c>
      <c r="C197">
        <v>298451.20000000001</v>
      </c>
      <c r="D197">
        <v>5.3337599999999999E-2</v>
      </c>
      <c r="E197">
        <v>192</v>
      </c>
      <c r="F197">
        <v>298866.40000000002</v>
      </c>
      <c r="G197">
        <v>298874.3</v>
      </c>
      <c r="H197">
        <v>5.3337599999999999E-2</v>
      </c>
      <c r="I197">
        <v>192</v>
      </c>
      <c r="J197">
        <v>298000.5</v>
      </c>
      <c r="K197">
        <v>298022.59999999998</v>
      </c>
      <c r="L197">
        <v>5.3337599999999999E-2</v>
      </c>
      <c r="M197">
        <v>192</v>
      </c>
      <c r="N197">
        <v>298089.7</v>
      </c>
      <c r="O197">
        <v>298106.3</v>
      </c>
      <c r="P197">
        <v>5.3337599999999999E-2</v>
      </c>
      <c r="R197">
        <v>319461.3</v>
      </c>
      <c r="S197">
        <v>294654.8</v>
      </c>
      <c r="T197">
        <v>319534.62439000001</v>
      </c>
      <c r="U197">
        <v>294983.90479999996</v>
      </c>
    </row>
    <row r="198" spans="1:21" x14ac:dyDescent="0.25">
      <c r="A198">
        <v>193</v>
      </c>
      <c r="B198">
        <v>298438.3</v>
      </c>
      <c r="C198">
        <v>298445.59999999998</v>
      </c>
      <c r="D198">
        <v>5.3615400000000001E-2</v>
      </c>
      <c r="E198">
        <v>193</v>
      </c>
      <c r="F198">
        <v>298844.3</v>
      </c>
      <c r="G198">
        <v>298852.59999999998</v>
      </c>
      <c r="H198">
        <v>5.3615400000000001E-2</v>
      </c>
      <c r="I198">
        <v>193</v>
      </c>
      <c r="J198">
        <v>297996.2</v>
      </c>
      <c r="K198">
        <v>298020.59999999998</v>
      </c>
      <c r="L198">
        <v>5.3615400000000001E-2</v>
      </c>
      <c r="M198">
        <v>193</v>
      </c>
      <c r="N198">
        <v>298078.59999999998</v>
      </c>
      <c r="O198">
        <v>298096.59999999998</v>
      </c>
      <c r="P198">
        <v>5.3615400000000001E-2</v>
      </c>
      <c r="R198">
        <v>318935.8</v>
      </c>
      <c r="S198">
        <v>294901.90000000002</v>
      </c>
      <c r="T198">
        <v>318980.49926000001</v>
      </c>
      <c r="U198">
        <v>295007.04980000004</v>
      </c>
    </row>
    <row r="199" spans="1:21" x14ac:dyDescent="0.25">
      <c r="A199">
        <v>194</v>
      </c>
      <c r="B199">
        <v>298443.3</v>
      </c>
      <c r="C199">
        <v>298450.8</v>
      </c>
      <c r="D199">
        <v>5.3893200000000002E-2</v>
      </c>
      <c r="E199">
        <v>194</v>
      </c>
      <c r="F199">
        <v>298822.3</v>
      </c>
      <c r="G199">
        <v>298830.90000000002</v>
      </c>
      <c r="H199">
        <v>5.3893200000000002E-2</v>
      </c>
      <c r="I199">
        <v>194</v>
      </c>
      <c r="J199">
        <v>297985.09999999998</v>
      </c>
      <c r="K199">
        <v>298011.59999999998</v>
      </c>
      <c r="L199">
        <v>5.3893200000000002E-2</v>
      </c>
      <c r="M199">
        <v>194</v>
      </c>
      <c r="N199">
        <v>298065.40000000002</v>
      </c>
      <c r="O199">
        <v>298084.7</v>
      </c>
      <c r="P199">
        <v>5.3893200000000002E-2</v>
      </c>
      <c r="R199">
        <v>318705.7</v>
      </c>
      <c r="S199">
        <v>295097.5</v>
      </c>
      <c r="T199">
        <v>318732.31251000002</v>
      </c>
      <c r="U199">
        <v>295134.40664</v>
      </c>
    </row>
    <row r="200" spans="1:21" x14ac:dyDescent="0.25">
      <c r="A200">
        <v>195</v>
      </c>
      <c r="B200">
        <v>298462.3</v>
      </c>
      <c r="C200">
        <v>298470.2</v>
      </c>
      <c r="D200">
        <v>5.4170999999999997E-2</v>
      </c>
      <c r="E200">
        <v>195</v>
      </c>
      <c r="F200">
        <v>298800.8</v>
      </c>
      <c r="G200">
        <v>298809.59999999998</v>
      </c>
      <c r="H200">
        <v>5.4170999999999997E-2</v>
      </c>
      <c r="I200">
        <v>195</v>
      </c>
      <c r="J200">
        <v>297967.5</v>
      </c>
      <c r="K200">
        <v>297996.09999999998</v>
      </c>
      <c r="L200">
        <v>5.4170999999999997E-2</v>
      </c>
      <c r="M200">
        <v>195</v>
      </c>
      <c r="N200">
        <v>298049.7</v>
      </c>
      <c r="O200">
        <v>298070.2</v>
      </c>
      <c r="P200">
        <v>5.4170999999999997E-2</v>
      </c>
      <c r="R200">
        <v>318739.59999999998</v>
      </c>
      <c r="S200">
        <v>295135</v>
      </c>
      <c r="T200">
        <v>318771.96768999996</v>
      </c>
      <c r="U200">
        <v>295280.15059999999</v>
      </c>
    </row>
    <row r="202" spans="1:21" x14ac:dyDescent="0.25">
      <c r="A202">
        <v>0</v>
      </c>
      <c r="B202">
        <v>300000</v>
      </c>
      <c r="C202">
        <v>0</v>
      </c>
      <c r="E202">
        <v>0</v>
      </c>
      <c r="F202" t="s">
        <v>734</v>
      </c>
      <c r="G202">
        <v>0</v>
      </c>
      <c r="I202">
        <v>0</v>
      </c>
      <c r="J202" t="s">
        <v>337</v>
      </c>
      <c r="K202">
        <v>0</v>
      </c>
      <c r="M202">
        <v>0</v>
      </c>
      <c r="N202" t="s">
        <v>1090</v>
      </c>
      <c r="O202">
        <v>0</v>
      </c>
    </row>
    <row r="203" spans="1:21" x14ac:dyDescent="0.25">
      <c r="A203">
        <v>1</v>
      </c>
      <c r="B203">
        <v>300000</v>
      </c>
      <c r="C203" t="s">
        <v>338</v>
      </c>
      <c r="E203">
        <v>1</v>
      </c>
      <c r="F203" t="s">
        <v>734</v>
      </c>
      <c r="G203" t="s">
        <v>338</v>
      </c>
      <c r="I203">
        <v>1</v>
      </c>
      <c r="J203" t="s">
        <v>337</v>
      </c>
      <c r="K203" t="s">
        <v>338</v>
      </c>
      <c r="M203">
        <v>1</v>
      </c>
      <c r="N203" t="s">
        <v>1090</v>
      </c>
      <c r="O203" t="s">
        <v>338</v>
      </c>
    </row>
    <row r="204" spans="1:21" x14ac:dyDescent="0.25">
      <c r="A204">
        <v>2</v>
      </c>
      <c r="B204" t="s">
        <v>555</v>
      </c>
      <c r="C204" t="s">
        <v>339</v>
      </c>
      <c r="E204">
        <v>2</v>
      </c>
      <c r="F204" t="s">
        <v>735</v>
      </c>
      <c r="G204" t="s">
        <v>339</v>
      </c>
      <c r="I204">
        <v>2</v>
      </c>
      <c r="J204" t="s">
        <v>909</v>
      </c>
      <c r="K204" t="s">
        <v>339</v>
      </c>
      <c r="M204">
        <v>2</v>
      </c>
      <c r="N204" t="s">
        <v>1091</v>
      </c>
      <c r="O204" t="s">
        <v>339</v>
      </c>
    </row>
    <row r="205" spans="1:21" x14ac:dyDescent="0.25">
      <c r="A205">
        <v>3</v>
      </c>
      <c r="B205" t="s">
        <v>556</v>
      </c>
      <c r="C205" t="s">
        <v>340</v>
      </c>
      <c r="E205">
        <v>3</v>
      </c>
      <c r="F205" t="s">
        <v>736</v>
      </c>
      <c r="G205" t="s">
        <v>340</v>
      </c>
      <c r="I205">
        <v>3</v>
      </c>
      <c r="J205" t="s">
        <v>910</v>
      </c>
      <c r="K205" t="s">
        <v>340</v>
      </c>
      <c r="M205">
        <v>3</v>
      </c>
      <c r="N205" t="s">
        <v>1092</v>
      </c>
      <c r="O205" t="s">
        <v>340</v>
      </c>
    </row>
    <row r="206" spans="1:21" x14ac:dyDescent="0.25">
      <c r="A206">
        <v>4</v>
      </c>
      <c r="B206" t="s">
        <v>557</v>
      </c>
      <c r="C206" t="s">
        <v>341</v>
      </c>
      <c r="E206">
        <v>4</v>
      </c>
      <c r="F206" t="s">
        <v>737</v>
      </c>
      <c r="G206" t="s">
        <v>341</v>
      </c>
      <c r="I206">
        <v>4</v>
      </c>
      <c r="J206" t="s">
        <v>911</v>
      </c>
      <c r="K206" t="s">
        <v>341</v>
      </c>
      <c r="M206">
        <v>4</v>
      </c>
      <c r="N206" t="s">
        <v>1093</v>
      </c>
      <c r="O206" t="s">
        <v>341</v>
      </c>
    </row>
    <row r="207" spans="1:21" x14ac:dyDescent="0.25">
      <c r="A207">
        <v>5</v>
      </c>
      <c r="B207" t="s">
        <v>558</v>
      </c>
      <c r="C207" t="s">
        <v>342</v>
      </c>
      <c r="E207">
        <v>5</v>
      </c>
      <c r="F207" t="s">
        <v>738</v>
      </c>
      <c r="G207" t="s">
        <v>342</v>
      </c>
      <c r="I207">
        <v>5</v>
      </c>
      <c r="J207" t="s">
        <v>912</v>
      </c>
      <c r="K207" t="s">
        <v>342</v>
      </c>
      <c r="M207">
        <v>5</v>
      </c>
      <c r="N207" t="s">
        <v>1094</v>
      </c>
      <c r="O207" t="s">
        <v>342</v>
      </c>
    </row>
    <row r="208" spans="1:21" x14ac:dyDescent="0.25">
      <c r="A208">
        <v>6</v>
      </c>
      <c r="B208" t="s">
        <v>559</v>
      </c>
      <c r="C208" t="s">
        <v>343</v>
      </c>
      <c r="E208">
        <v>6</v>
      </c>
      <c r="F208">
        <v>305351</v>
      </c>
      <c r="G208" t="s">
        <v>343</v>
      </c>
      <c r="I208">
        <v>6</v>
      </c>
      <c r="J208" t="s">
        <v>913</v>
      </c>
      <c r="K208" t="s">
        <v>343</v>
      </c>
      <c r="M208">
        <v>6</v>
      </c>
      <c r="N208" t="s">
        <v>1095</v>
      </c>
      <c r="O208" t="s">
        <v>343</v>
      </c>
    </row>
    <row r="209" spans="1:15" x14ac:dyDescent="0.25">
      <c r="A209">
        <v>7</v>
      </c>
      <c r="B209" t="s">
        <v>560</v>
      </c>
      <c r="C209" t="s">
        <v>344</v>
      </c>
      <c r="E209">
        <v>7</v>
      </c>
      <c r="F209" t="s">
        <v>739</v>
      </c>
      <c r="G209" t="s">
        <v>344</v>
      </c>
      <c r="I209">
        <v>7</v>
      </c>
      <c r="J209" t="s">
        <v>914</v>
      </c>
      <c r="K209" t="s">
        <v>344</v>
      </c>
      <c r="M209">
        <v>7</v>
      </c>
      <c r="N209">
        <v>307094</v>
      </c>
      <c r="O209" t="s">
        <v>344</v>
      </c>
    </row>
    <row r="210" spans="1:15" x14ac:dyDescent="0.25">
      <c r="A210">
        <v>8</v>
      </c>
      <c r="B210" t="s">
        <v>561</v>
      </c>
      <c r="C210" t="s">
        <v>345</v>
      </c>
      <c r="E210">
        <v>8</v>
      </c>
      <c r="F210" t="s">
        <v>740</v>
      </c>
      <c r="G210" t="s">
        <v>345</v>
      </c>
      <c r="I210">
        <v>8</v>
      </c>
      <c r="J210" t="s">
        <v>915</v>
      </c>
      <c r="K210" t="s">
        <v>345</v>
      </c>
      <c r="M210">
        <v>8</v>
      </c>
      <c r="N210">
        <v>309447</v>
      </c>
      <c r="O210" t="s">
        <v>345</v>
      </c>
    </row>
    <row r="211" spans="1:15" x14ac:dyDescent="0.25">
      <c r="A211">
        <v>9</v>
      </c>
      <c r="B211" t="s">
        <v>562</v>
      </c>
      <c r="C211" t="s">
        <v>346</v>
      </c>
      <c r="E211">
        <v>9</v>
      </c>
      <c r="F211" t="s">
        <v>741</v>
      </c>
      <c r="G211" t="s">
        <v>346</v>
      </c>
      <c r="I211">
        <v>9</v>
      </c>
      <c r="J211">
        <v>310401</v>
      </c>
      <c r="K211" t="s">
        <v>346</v>
      </c>
      <c r="M211">
        <v>9</v>
      </c>
      <c r="N211" t="s">
        <v>1096</v>
      </c>
      <c r="O211" t="s">
        <v>346</v>
      </c>
    </row>
    <row r="212" spans="1:15" x14ac:dyDescent="0.25">
      <c r="A212">
        <v>10</v>
      </c>
      <c r="B212" t="s">
        <v>563</v>
      </c>
      <c r="C212" t="s">
        <v>347</v>
      </c>
      <c r="E212">
        <v>10</v>
      </c>
      <c r="F212" t="s">
        <v>742</v>
      </c>
      <c r="G212" t="s">
        <v>347</v>
      </c>
      <c r="I212">
        <v>10</v>
      </c>
      <c r="J212" t="s">
        <v>916</v>
      </c>
      <c r="K212" t="s">
        <v>347</v>
      </c>
      <c r="M212">
        <v>10</v>
      </c>
      <c r="N212" t="s">
        <v>1097</v>
      </c>
      <c r="O212" t="s">
        <v>347</v>
      </c>
    </row>
    <row r="213" spans="1:15" x14ac:dyDescent="0.25">
      <c r="A213">
        <v>11</v>
      </c>
      <c r="B213" t="s">
        <v>564</v>
      </c>
      <c r="C213" t="s">
        <v>348</v>
      </c>
      <c r="E213">
        <v>11</v>
      </c>
      <c r="F213" t="s">
        <v>743</v>
      </c>
      <c r="G213" t="s">
        <v>348</v>
      </c>
      <c r="I213">
        <v>11</v>
      </c>
      <c r="J213" t="s">
        <v>917</v>
      </c>
      <c r="K213" t="s">
        <v>348</v>
      </c>
      <c r="M213">
        <v>11</v>
      </c>
      <c r="N213" t="s">
        <v>1098</v>
      </c>
      <c r="O213" t="s">
        <v>348</v>
      </c>
    </row>
    <row r="214" spans="1:15" x14ac:dyDescent="0.25">
      <c r="A214">
        <v>12</v>
      </c>
      <c r="B214" t="s">
        <v>565</v>
      </c>
      <c r="C214" t="s">
        <v>349</v>
      </c>
      <c r="E214">
        <v>12</v>
      </c>
      <c r="F214" t="s">
        <v>744</v>
      </c>
      <c r="G214" t="s">
        <v>349</v>
      </c>
      <c r="I214">
        <v>12</v>
      </c>
      <c r="J214" t="s">
        <v>918</v>
      </c>
      <c r="K214" t="s">
        <v>349</v>
      </c>
      <c r="M214">
        <v>12</v>
      </c>
      <c r="N214" t="s">
        <v>1099</v>
      </c>
      <c r="O214" t="s">
        <v>349</v>
      </c>
    </row>
    <row r="215" spans="1:15" x14ac:dyDescent="0.25">
      <c r="A215">
        <v>13</v>
      </c>
      <c r="B215" t="s">
        <v>566</v>
      </c>
      <c r="C215" t="s">
        <v>350</v>
      </c>
      <c r="E215">
        <v>13</v>
      </c>
      <c r="F215" t="s">
        <v>745</v>
      </c>
      <c r="G215" t="s">
        <v>350</v>
      </c>
      <c r="I215">
        <v>13</v>
      </c>
      <c r="J215" t="s">
        <v>919</v>
      </c>
      <c r="K215" t="s">
        <v>350</v>
      </c>
      <c r="M215">
        <v>13</v>
      </c>
      <c r="N215" t="s">
        <v>1100</v>
      </c>
      <c r="O215" t="s">
        <v>350</v>
      </c>
    </row>
    <row r="216" spans="1:15" x14ac:dyDescent="0.25">
      <c r="A216">
        <v>14</v>
      </c>
      <c r="B216" t="s">
        <v>567</v>
      </c>
      <c r="C216" t="s">
        <v>351</v>
      </c>
      <c r="E216">
        <v>14</v>
      </c>
      <c r="F216" t="s">
        <v>746</v>
      </c>
      <c r="G216" t="s">
        <v>351</v>
      </c>
      <c r="I216">
        <v>14</v>
      </c>
      <c r="J216" t="s">
        <v>920</v>
      </c>
      <c r="K216" t="s">
        <v>351</v>
      </c>
      <c r="M216">
        <v>14</v>
      </c>
      <c r="N216" t="s">
        <v>1101</v>
      </c>
      <c r="O216" t="s">
        <v>351</v>
      </c>
    </row>
    <row r="217" spans="1:15" x14ac:dyDescent="0.25">
      <c r="A217">
        <v>15</v>
      </c>
      <c r="B217" t="s">
        <v>568</v>
      </c>
      <c r="C217" t="s">
        <v>352</v>
      </c>
      <c r="E217">
        <v>15</v>
      </c>
      <c r="F217" t="s">
        <v>747</v>
      </c>
      <c r="G217" t="s">
        <v>352</v>
      </c>
      <c r="I217">
        <v>15</v>
      </c>
      <c r="J217" t="s">
        <v>921</v>
      </c>
      <c r="K217" t="s">
        <v>352</v>
      </c>
      <c r="M217">
        <v>15</v>
      </c>
      <c r="N217" t="s">
        <v>1102</v>
      </c>
      <c r="O217" t="s">
        <v>352</v>
      </c>
    </row>
    <row r="218" spans="1:15" x14ac:dyDescent="0.25">
      <c r="A218">
        <v>16</v>
      </c>
      <c r="B218">
        <v>316491</v>
      </c>
      <c r="C218" t="s">
        <v>353</v>
      </c>
      <c r="E218">
        <v>16</v>
      </c>
      <c r="F218" t="s">
        <v>748</v>
      </c>
      <c r="G218" t="s">
        <v>353</v>
      </c>
      <c r="I218">
        <v>16</v>
      </c>
      <c r="J218" t="s">
        <v>922</v>
      </c>
      <c r="K218" t="s">
        <v>353</v>
      </c>
      <c r="M218">
        <v>16</v>
      </c>
      <c r="N218" t="s">
        <v>1103</v>
      </c>
      <c r="O218" t="s">
        <v>353</v>
      </c>
    </row>
    <row r="219" spans="1:15" x14ac:dyDescent="0.25">
      <c r="A219">
        <v>17</v>
      </c>
      <c r="B219" t="s">
        <v>569</v>
      </c>
      <c r="C219" t="s">
        <v>354</v>
      </c>
      <c r="E219">
        <v>17</v>
      </c>
      <c r="F219" t="s">
        <v>749</v>
      </c>
      <c r="G219" t="s">
        <v>354</v>
      </c>
      <c r="I219">
        <v>17</v>
      </c>
      <c r="J219" t="s">
        <v>923</v>
      </c>
      <c r="K219" t="s">
        <v>354</v>
      </c>
      <c r="M219">
        <v>17</v>
      </c>
      <c r="N219" t="s">
        <v>1104</v>
      </c>
      <c r="O219" t="s">
        <v>354</v>
      </c>
    </row>
    <row r="220" spans="1:15" x14ac:dyDescent="0.25">
      <c r="A220">
        <v>18</v>
      </c>
      <c r="B220" t="s">
        <v>570</v>
      </c>
      <c r="C220" t="s">
        <v>355</v>
      </c>
      <c r="E220">
        <v>18</v>
      </c>
      <c r="F220" t="s">
        <v>750</v>
      </c>
      <c r="G220" t="s">
        <v>355</v>
      </c>
      <c r="I220">
        <v>18</v>
      </c>
      <c r="J220" t="s">
        <v>924</v>
      </c>
      <c r="K220" t="s">
        <v>355</v>
      </c>
      <c r="M220">
        <v>18</v>
      </c>
      <c r="N220" t="s">
        <v>1105</v>
      </c>
      <c r="O220" t="s">
        <v>355</v>
      </c>
    </row>
    <row r="221" spans="1:15" x14ac:dyDescent="0.25">
      <c r="A221">
        <v>19</v>
      </c>
      <c r="B221" t="s">
        <v>571</v>
      </c>
      <c r="C221" t="s">
        <v>356</v>
      </c>
      <c r="E221">
        <v>19</v>
      </c>
      <c r="F221" t="s">
        <v>701</v>
      </c>
      <c r="G221" t="s">
        <v>356</v>
      </c>
      <c r="I221">
        <v>19</v>
      </c>
      <c r="J221" t="s">
        <v>925</v>
      </c>
      <c r="K221" t="s">
        <v>356</v>
      </c>
      <c r="M221">
        <v>19</v>
      </c>
      <c r="N221" t="s">
        <v>1106</v>
      </c>
      <c r="O221" t="s">
        <v>356</v>
      </c>
    </row>
    <row r="222" spans="1:15" x14ac:dyDescent="0.25">
      <c r="A222">
        <v>20</v>
      </c>
      <c r="B222" t="s">
        <v>572</v>
      </c>
      <c r="C222" t="s">
        <v>357</v>
      </c>
      <c r="E222">
        <v>20</v>
      </c>
      <c r="F222" t="s">
        <v>751</v>
      </c>
      <c r="G222" t="s">
        <v>357</v>
      </c>
      <c r="I222">
        <v>20</v>
      </c>
      <c r="J222" t="s">
        <v>926</v>
      </c>
      <c r="K222" t="s">
        <v>357</v>
      </c>
      <c r="M222">
        <v>20</v>
      </c>
      <c r="N222" t="s">
        <v>1107</v>
      </c>
      <c r="O222" t="s">
        <v>357</v>
      </c>
    </row>
    <row r="223" spans="1:15" x14ac:dyDescent="0.25">
      <c r="A223">
        <v>21</v>
      </c>
      <c r="B223" t="s">
        <v>573</v>
      </c>
      <c r="C223" t="s">
        <v>358</v>
      </c>
      <c r="E223">
        <v>21</v>
      </c>
      <c r="F223" t="s">
        <v>752</v>
      </c>
      <c r="G223" t="s">
        <v>358</v>
      </c>
      <c r="I223">
        <v>21</v>
      </c>
      <c r="J223" t="s">
        <v>927</v>
      </c>
      <c r="K223" t="s">
        <v>358</v>
      </c>
      <c r="M223">
        <v>21</v>
      </c>
      <c r="N223" t="s">
        <v>1108</v>
      </c>
      <c r="O223" t="s">
        <v>358</v>
      </c>
    </row>
    <row r="224" spans="1:15" x14ac:dyDescent="0.25">
      <c r="A224">
        <v>22</v>
      </c>
      <c r="B224" t="s">
        <v>574</v>
      </c>
      <c r="C224" t="s">
        <v>359</v>
      </c>
      <c r="E224">
        <v>22</v>
      </c>
      <c r="F224" t="s">
        <v>753</v>
      </c>
      <c r="G224" t="s">
        <v>359</v>
      </c>
      <c r="I224">
        <v>22</v>
      </c>
      <c r="J224">
        <v>309230</v>
      </c>
      <c r="K224" t="s">
        <v>359</v>
      </c>
      <c r="M224">
        <v>22</v>
      </c>
      <c r="N224" t="s">
        <v>1109</v>
      </c>
      <c r="O224" t="s">
        <v>359</v>
      </c>
    </row>
    <row r="225" spans="1:15" x14ac:dyDescent="0.25">
      <c r="A225">
        <v>23</v>
      </c>
      <c r="B225" t="s">
        <v>575</v>
      </c>
      <c r="C225" t="s">
        <v>360</v>
      </c>
      <c r="E225">
        <v>23</v>
      </c>
      <c r="F225" t="s">
        <v>754</v>
      </c>
      <c r="G225" t="s">
        <v>360</v>
      </c>
      <c r="I225">
        <v>23</v>
      </c>
      <c r="J225" t="s">
        <v>928</v>
      </c>
      <c r="K225" t="s">
        <v>360</v>
      </c>
      <c r="M225">
        <v>23</v>
      </c>
      <c r="N225" t="s">
        <v>1110</v>
      </c>
      <c r="O225" t="s">
        <v>360</v>
      </c>
    </row>
    <row r="226" spans="1:15" x14ac:dyDescent="0.25">
      <c r="A226">
        <v>24</v>
      </c>
      <c r="B226" t="s">
        <v>576</v>
      </c>
      <c r="C226" t="s">
        <v>361</v>
      </c>
      <c r="E226">
        <v>24</v>
      </c>
      <c r="F226" t="s">
        <v>755</v>
      </c>
      <c r="G226" t="s">
        <v>361</v>
      </c>
      <c r="I226">
        <v>24</v>
      </c>
      <c r="J226" t="s">
        <v>929</v>
      </c>
      <c r="K226" t="s">
        <v>361</v>
      </c>
      <c r="M226">
        <v>24</v>
      </c>
      <c r="N226" t="s">
        <v>1111</v>
      </c>
      <c r="O226" t="s">
        <v>361</v>
      </c>
    </row>
    <row r="227" spans="1:15" x14ac:dyDescent="0.25">
      <c r="A227">
        <v>25</v>
      </c>
      <c r="B227">
        <v>303751</v>
      </c>
      <c r="C227" t="s">
        <v>362</v>
      </c>
      <c r="E227">
        <v>25</v>
      </c>
      <c r="F227" t="s">
        <v>756</v>
      </c>
      <c r="G227" t="s">
        <v>362</v>
      </c>
      <c r="I227">
        <v>25</v>
      </c>
      <c r="J227" t="s">
        <v>930</v>
      </c>
      <c r="K227" t="s">
        <v>362</v>
      </c>
      <c r="M227">
        <v>25</v>
      </c>
      <c r="N227" t="s">
        <v>1112</v>
      </c>
      <c r="O227" t="s">
        <v>362</v>
      </c>
    </row>
    <row r="228" spans="1:15" x14ac:dyDescent="0.25">
      <c r="A228">
        <v>26</v>
      </c>
      <c r="B228" t="s">
        <v>577</v>
      </c>
      <c r="C228" t="s">
        <v>363</v>
      </c>
      <c r="E228">
        <v>26</v>
      </c>
      <c r="F228" t="s">
        <v>757</v>
      </c>
      <c r="G228" t="s">
        <v>363</v>
      </c>
      <c r="I228">
        <v>26</v>
      </c>
      <c r="J228" t="s">
        <v>931</v>
      </c>
      <c r="K228" t="s">
        <v>363</v>
      </c>
      <c r="M228">
        <v>26</v>
      </c>
      <c r="N228">
        <v>302749</v>
      </c>
      <c r="O228" t="s">
        <v>363</v>
      </c>
    </row>
    <row r="229" spans="1:15" x14ac:dyDescent="0.25">
      <c r="A229">
        <v>27</v>
      </c>
      <c r="B229" t="s">
        <v>578</v>
      </c>
      <c r="C229" t="s">
        <v>364</v>
      </c>
      <c r="E229">
        <v>27</v>
      </c>
      <c r="F229" t="s">
        <v>758</v>
      </c>
      <c r="G229" t="s">
        <v>364</v>
      </c>
      <c r="I229">
        <v>27</v>
      </c>
      <c r="J229">
        <v>301622</v>
      </c>
      <c r="K229" t="s">
        <v>364</v>
      </c>
      <c r="M229">
        <v>27</v>
      </c>
      <c r="N229" t="s">
        <v>1113</v>
      </c>
      <c r="O229" t="s">
        <v>364</v>
      </c>
    </row>
    <row r="230" spans="1:15" x14ac:dyDescent="0.25">
      <c r="A230">
        <v>28</v>
      </c>
      <c r="B230" t="s">
        <v>579</v>
      </c>
      <c r="C230" t="s">
        <v>365</v>
      </c>
      <c r="E230">
        <v>28</v>
      </c>
      <c r="F230" t="s">
        <v>759</v>
      </c>
      <c r="G230" t="s">
        <v>365</v>
      </c>
      <c r="I230">
        <v>28</v>
      </c>
      <c r="J230" t="s">
        <v>932</v>
      </c>
      <c r="K230" t="s">
        <v>365</v>
      </c>
      <c r="M230">
        <v>28</v>
      </c>
      <c r="N230">
        <v>301203</v>
      </c>
      <c r="O230" t="s">
        <v>365</v>
      </c>
    </row>
    <row r="231" spans="1:15" x14ac:dyDescent="0.25">
      <c r="A231">
        <v>29</v>
      </c>
      <c r="B231" t="s">
        <v>580</v>
      </c>
      <c r="C231" t="s">
        <v>366</v>
      </c>
      <c r="E231">
        <v>29</v>
      </c>
      <c r="F231" t="s">
        <v>760</v>
      </c>
      <c r="G231" t="s">
        <v>366</v>
      </c>
      <c r="I231">
        <v>29</v>
      </c>
      <c r="J231" t="s">
        <v>933</v>
      </c>
      <c r="K231" t="s">
        <v>366</v>
      </c>
      <c r="M231">
        <v>29</v>
      </c>
      <c r="N231" t="s">
        <v>1114</v>
      </c>
      <c r="O231" t="s">
        <v>366</v>
      </c>
    </row>
    <row r="232" spans="1:15" x14ac:dyDescent="0.25">
      <c r="A232">
        <v>30</v>
      </c>
      <c r="B232" t="s">
        <v>581</v>
      </c>
      <c r="C232" t="s">
        <v>367</v>
      </c>
      <c r="E232">
        <v>30</v>
      </c>
      <c r="F232" t="s">
        <v>761</v>
      </c>
      <c r="G232" t="s">
        <v>367</v>
      </c>
      <c r="I232">
        <v>30</v>
      </c>
      <c r="J232" t="s">
        <v>934</v>
      </c>
      <c r="K232" t="s">
        <v>367</v>
      </c>
      <c r="M232">
        <v>30</v>
      </c>
      <c r="N232" t="s">
        <v>1115</v>
      </c>
      <c r="O232" t="s">
        <v>367</v>
      </c>
    </row>
    <row r="233" spans="1:15" x14ac:dyDescent="0.25">
      <c r="A233">
        <v>31</v>
      </c>
      <c r="B233" t="s">
        <v>582</v>
      </c>
      <c r="C233" t="s">
        <v>369</v>
      </c>
      <c r="E233">
        <v>31</v>
      </c>
      <c r="F233" t="s">
        <v>762</v>
      </c>
      <c r="G233" t="s">
        <v>369</v>
      </c>
      <c r="I233">
        <v>31</v>
      </c>
      <c r="J233" t="s">
        <v>935</v>
      </c>
      <c r="K233" t="s">
        <v>369</v>
      </c>
      <c r="M233">
        <v>31</v>
      </c>
      <c r="N233" t="s">
        <v>1116</v>
      </c>
      <c r="O233" t="s">
        <v>369</v>
      </c>
    </row>
    <row r="234" spans="1:15" x14ac:dyDescent="0.25">
      <c r="A234">
        <v>32</v>
      </c>
      <c r="B234" t="s">
        <v>583</v>
      </c>
      <c r="C234" t="s">
        <v>370</v>
      </c>
      <c r="E234">
        <v>32</v>
      </c>
      <c r="F234" t="s">
        <v>763</v>
      </c>
      <c r="G234" t="s">
        <v>370</v>
      </c>
      <c r="I234">
        <v>32</v>
      </c>
      <c r="J234" t="s">
        <v>936</v>
      </c>
      <c r="K234" t="s">
        <v>370</v>
      </c>
      <c r="M234">
        <v>32</v>
      </c>
      <c r="N234">
        <v>301449</v>
      </c>
      <c r="O234" t="s">
        <v>370</v>
      </c>
    </row>
    <row r="235" spans="1:15" x14ac:dyDescent="0.25">
      <c r="A235">
        <v>33</v>
      </c>
      <c r="B235" t="s">
        <v>584</v>
      </c>
      <c r="C235" t="s">
        <v>371</v>
      </c>
      <c r="E235">
        <v>33</v>
      </c>
      <c r="F235" t="s">
        <v>764</v>
      </c>
      <c r="G235" t="s">
        <v>765</v>
      </c>
      <c r="I235">
        <v>33</v>
      </c>
      <c r="J235" t="s">
        <v>883</v>
      </c>
      <c r="K235" t="s">
        <v>371</v>
      </c>
      <c r="M235">
        <v>33</v>
      </c>
      <c r="N235" t="s">
        <v>1117</v>
      </c>
      <c r="O235" t="s">
        <v>371</v>
      </c>
    </row>
    <row r="236" spans="1:15" x14ac:dyDescent="0.25">
      <c r="A236">
        <v>34</v>
      </c>
      <c r="B236" t="s">
        <v>585</v>
      </c>
      <c r="C236" t="s">
        <v>372</v>
      </c>
      <c r="E236">
        <v>34</v>
      </c>
      <c r="F236" t="s">
        <v>766</v>
      </c>
      <c r="G236" t="s">
        <v>372</v>
      </c>
      <c r="I236">
        <v>34</v>
      </c>
      <c r="J236" t="s">
        <v>937</v>
      </c>
      <c r="K236" t="s">
        <v>372</v>
      </c>
      <c r="M236">
        <v>34</v>
      </c>
      <c r="N236" t="s">
        <v>368</v>
      </c>
      <c r="O236" t="s">
        <v>372</v>
      </c>
    </row>
    <row r="237" spans="1:15" x14ac:dyDescent="0.25">
      <c r="A237">
        <v>35</v>
      </c>
      <c r="B237" t="s">
        <v>586</v>
      </c>
      <c r="C237" t="s">
        <v>373</v>
      </c>
      <c r="E237">
        <v>35</v>
      </c>
      <c r="F237" t="s">
        <v>767</v>
      </c>
      <c r="G237" t="s">
        <v>373</v>
      </c>
      <c r="I237">
        <v>35</v>
      </c>
      <c r="J237" t="s">
        <v>938</v>
      </c>
      <c r="K237" t="s">
        <v>373</v>
      </c>
      <c r="M237">
        <v>35</v>
      </c>
      <c r="N237" t="s">
        <v>1118</v>
      </c>
      <c r="O237" t="s">
        <v>373</v>
      </c>
    </row>
    <row r="238" spans="1:15" x14ac:dyDescent="0.25">
      <c r="A238">
        <v>36</v>
      </c>
      <c r="B238" t="s">
        <v>587</v>
      </c>
      <c r="C238" t="s">
        <v>374</v>
      </c>
      <c r="E238">
        <v>36</v>
      </c>
      <c r="F238" t="s">
        <v>768</v>
      </c>
      <c r="G238" t="s">
        <v>374</v>
      </c>
      <c r="I238">
        <v>36</v>
      </c>
      <c r="J238" t="s">
        <v>939</v>
      </c>
      <c r="K238" t="s">
        <v>374</v>
      </c>
      <c r="M238">
        <v>36</v>
      </c>
      <c r="N238" t="s">
        <v>736</v>
      </c>
      <c r="O238" t="s">
        <v>374</v>
      </c>
    </row>
    <row r="239" spans="1:15" x14ac:dyDescent="0.25">
      <c r="A239">
        <v>37</v>
      </c>
      <c r="B239" t="s">
        <v>588</v>
      </c>
      <c r="C239" t="s">
        <v>375</v>
      </c>
      <c r="E239">
        <v>37</v>
      </c>
      <c r="F239" t="s">
        <v>769</v>
      </c>
      <c r="G239" t="s">
        <v>375</v>
      </c>
      <c r="I239">
        <v>37</v>
      </c>
      <c r="J239" t="s">
        <v>940</v>
      </c>
      <c r="K239" t="s">
        <v>375</v>
      </c>
      <c r="M239">
        <v>37</v>
      </c>
      <c r="N239" t="s">
        <v>1119</v>
      </c>
      <c r="O239" t="s">
        <v>375</v>
      </c>
    </row>
    <row r="240" spans="1:15" x14ac:dyDescent="0.25">
      <c r="A240">
        <v>38</v>
      </c>
      <c r="B240" t="s">
        <v>589</v>
      </c>
      <c r="C240" t="s">
        <v>376</v>
      </c>
      <c r="E240">
        <v>38</v>
      </c>
      <c r="F240" t="s">
        <v>770</v>
      </c>
      <c r="G240" t="s">
        <v>376</v>
      </c>
      <c r="I240">
        <v>38</v>
      </c>
      <c r="J240" t="s">
        <v>941</v>
      </c>
      <c r="K240" t="s">
        <v>376</v>
      </c>
      <c r="M240">
        <v>38</v>
      </c>
      <c r="N240">
        <v>301379</v>
      </c>
      <c r="O240" t="s">
        <v>376</v>
      </c>
    </row>
    <row r="241" spans="1:15" x14ac:dyDescent="0.25">
      <c r="A241">
        <v>39</v>
      </c>
      <c r="B241" t="s">
        <v>590</v>
      </c>
      <c r="C241" t="s">
        <v>377</v>
      </c>
      <c r="E241">
        <v>39</v>
      </c>
      <c r="F241">
        <v>301659</v>
      </c>
      <c r="G241" t="s">
        <v>377</v>
      </c>
      <c r="I241">
        <v>39</v>
      </c>
      <c r="J241" t="s">
        <v>942</v>
      </c>
      <c r="K241" t="s">
        <v>377</v>
      </c>
      <c r="M241">
        <v>39</v>
      </c>
      <c r="N241" t="s">
        <v>1120</v>
      </c>
      <c r="O241" t="s">
        <v>377</v>
      </c>
    </row>
    <row r="242" spans="1:15" x14ac:dyDescent="0.25">
      <c r="A242">
        <v>40</v>
      </c>
      <c r="B242" t="s">
        <v>591</v>
      </c>
      <c r="C242" t="s">
        <v>378</v>
      </c>
      <c r="E242">
        <v>40</v>
      </c>
      <c r="F242" t="s">
        <v>771</v>
      </c>
      <c r="G242" t="s">
        <v>378</v>
      </c>
      <c r="I242">
        <v>40</v>
      </c>
      <c r="J242" t="s">
        <v>943</v>
      </c>
      <c r="K242" t="s">
        <v>378</v>
      </c>
      <c r="M242">
        <v>40</v>
      </c>
      <c r="N242" t="s">
        <v>1121</v>
      </c>
      <c r="O242" t="s">
        <v>378</v>
      </c>
    </row>
    <row r="243" spans="1:15" x14ac:dyDescent="0.25">
      <c r="A243">
        <v>41</v>
      </c>
      <c r="B243" t="s">
        <v>592</v>
      </c>
      <c r="C243" t="s">
        <v>379</v>
      </c>
      <c r="E243">
        <v>41</v>
      </c>
      <c r="F243" t="s">
        <v>772</v>
      </c>
      <c r="G243" t="s">
        <v>379</v>
      </c>
      <c r="I243">
        <v>41</v>
      </c>
      <c r="J243" t="s">
        <v>944</v>
      </c>
      <c r="K243" t="s">
        <v>379</v>
      </c>
      <c r="M243">
        <v>41</v>
      </c>
      <c r="N243" t="s">
        <v>1122</v>
      </c>
      <c r="O243" t="s">
        <v>379</v>
      </c>
    </row>
    <row r="244" spans="1:15" x14ac:dyDescent="0.25">
      <c r="A244">
        <v>42</v>
      </c>
      <c r="B244" t="s">
        <v>593</v>
      </c>
      <c r="C244" t="s">
        <v>380</v>
      </c>
      <c r="E244">
        <v>42</v>
      </c>
      <c r="F244" t="s">
        <v>773</v>
      </c>
      <c r="G244" t="s">
        <v>380</v>
      </c>
      <c r="I244">
        <v>42</v>
      </c>
      <c r="J244" t="s">
        <v>945</v>
      </c>
      <c r="K244" t="s">
        <v>380</v>
      </c>
      <c r="M244">
        <v>42</v>
      </c>
      <c r="N244" t="s">
        <v>1123</v>
      </c>
      <c r="O244" t="s">
        <v>380</v>
      </c>
    </row>
    <row r="245" spans="1:15" x14ac:dyDescent="0.25">
      <c r="A245">
        <v>43</v>
      </c>
      <c r="B245" t="s">
        <v>594</v>
      </c>
      <c r="C245" t="s">
        <v>381</v>
      </c>
      <c r="E245">
        <v>43</v>
      </c>
      <c r="F245" t="s">
        <v>774</v>
      </c>
      <c r="G245" t="s">
        <v>381</v>
      </c>
      <c r="I245">
        <v>43</v>
      </c>
      <c r="J245" t="s">
        <v>946</v>
      </c>
      <c r="K245" t="s">
        <v>381</v>
      </c>
      <c r="M245">
        <v>43</v>
      </c>
      <c r="N245">
        <v>301160</v>
      </c>
      <c r="O245" t="s">
        <v>381</v>
      </c>
    </row>
    <row r="246" spans="1:15" x14ac:dyDescent="0.25">
      <c r="A246">
        <v>44</v>
      </c>
      <c r="B246" t="s">
        <v>595</v>
      </c>
      <c r="C246" t="s">
        <v>382</v>
      </c>
      <c r="E246">
        <v>44</v>
      </c>
      <c r="F246" t="s">
        <v>775</v>
      </c>
      <c r="G246" t="s">
        <v>382</v>
      </c>
      <c r="I246">
        <v>44</v>
      </c>
      <c r="J246" t="s">
        <v>947</v>
      </c>
      <c r="K246" t="s">
        <v>382</v>
      </c>
      <c r="M246">
        <v>44</v>
      </c>
      <c r="N246" t="s">
        <v>1124</v>
      </c>
      <c r="O246" t="s">
        <v>382</v>
      </c>
    </row>
    <row r="247" spans="1:15" x14ac:dyDescent="0.25">
      <c r="A247">
        <v>45</v>
      </c>
      <c r="B247">
        <v>301794</v>
      </c>
      <c r="C247" t="s">
        <v>383</v>
      </c>
      <c r="E247">
        <v>45</v>
      </c>
      <c r="F247" t="s">
        <v>776</v>
      </c>
      <c r="G247" t="s">
        <v>383</v>
      </c>
      <c r="I247">
        <v>45</v>
      </c>
      <c r="J247" t="s">
        <v>948</v>
      </c>
      <c r="K247" t="s">
        <v>383</v>
      </c>
      <c r="M247">
        <v>45</v>
      </c>
      <c r="N247" t="s">
        <v>1125</v>
      </c>
      <c r="O247" t="s">
        <v>383</v>
      </c>
    </row>
    <row r="248" spans="1:15" x14ac:dyDescent="0.25">
      <c r="A248">
        <v>46</v>
      </c>
      <c r="B248" t="s">
        <v>596</v>
      </c>
      <c r="C248" t="s">
        <v>384</v>
      </c>
      <c r="E248">
        <v>46</v>
      </c>
      <c r="F248" t="s">
        <v>777</v>
      </c>
      <c r="G248" t="s">
        <v>384</v>
      </c>
      <c r="I248">
        <v>46</v>
      </c>
      <c r="J248" t="s">
        <v>949</v>
      </c>
      <c r="K248" t="s">
        <v>384</v>
      </c>
      <c r="M248">
        <v>46</v>
      </c>
      <c r="N248" t="s">
        <v>1126</v>
      </c>
      <c r="O248" t="s">
        <v>384</v>
      </c>
    </row>
    <row r="249" spans="1:15" x14ac:dyDescent="0.25">
      <c r="A249">
        <v>47</v>
      </c>
      <c r="B249" t="s">
        <v>597</v>
      </c>
      <c r="C249" t="s">
        <v>385</v>
      </c>
      <c r="E249">
        <v>47</v>
      </c>
      <c r="F249" t="s">
        <v>778</v>
      </c>
      <c r="G249" t="s">
        <v>385</v>
      </c>
      <c r="I249">
        <v>47</v>
      </c>
      <c r="J249" t="s">
        <v>950</v>
      </c>
      <c r="K249" t="s">
        <v>385</v>
      </c>
      <c r="M249">
        <v>47</v>
      </c>
      <c r="N249" t="s">
        <v>1127</v>
      </c>
      <c r="O249" t="s">
        <v>385</v>
      </c>
    </row>
    <row r="250" spans="1:15" x14ac:dyDescent="0.25">
      <c r="A250">
        <v>48</v>
      </c>
      <c r="B250" t="s">
        <v>598</v>
      </c>
      <c r="C250" t="s">
        <v>386</v>
      </c>
      <c r="E250">
        <v>48</v>
      </c>
      <c r="F250" t="s">
        <v>779</v>
      </c>
      <c r="G250" t="s">
        <v>386</v>
      </c>
      <c r="I250">
        <v>48</v>
      </c>
      <c r="J250" t="s">
        <v>951</v>
      </c>
      <c r="K250" t="s">
        <v>386</v>
      </c>
      <c r="M250">
        <v>48</v>
      </c>
      <c r="N250" t="s">
        <v>1128</v>
      </c>
      <c r="O250" t="s">
        <v>386</v>
      </c>
    </row>
    <row r="251" spans="1:15" x14ac:dyDescent="0.25">
      <c r="A251">
        <v>49</v>
      </c>
      <c r="B251" t="s">
        <v>599</v>
      </c>
      <c r="C251" t="s">
        <v>387</v>
      </c>
      <c r="E251">
        <v>49</v>
      </c>
      <c r="F251" t="s">
        <v>780</v>
      </c>
      <c r="G251" t="s">
        <v>387</v>
      </c>
      <c r="I251">
        <v>49</v>
      </c>
      <c r="J251" t="s">
        <v>952</v>
      </c>
      <c r="K251" t="s">
        <v>387</v>
      </c>
      <c r="M251">
        <v>49</v>
      </c>
      <c r="N251" t="s">
        <v>1129</v>
      </c>
      <c r="O251" t="s">
        <v>387</v>
      </c>
    </row>
    <row r="252" spans="1:15" x14ac:dyDescent="0.25">
      <c r="A252">
        <v>50</v>
      </c>
      <c r="B252" t="s">
        <v>600</v>
      </c>
      <c r="C252" t="s">
        <v>388</v>
      </c>
      <c r="E252">
        <v>50</v>
      </c>
      <c r="F252" t="s">
        <v>781</v>
      </c>
      <c r="G252" t="s">
        <v>388</v>
      </c>
      <c r="I252">
        <v>50</v>
      </c>
      <c r="J252" t="s">
        <v>953</v>
      </c>
      <c r="K252" t="s">
        <v>388</v>
      </c>
      <c r="M252">
        <v>50</v>
      </c>
      <c r="N252" t="s">
        <v>1130</v>
      </c>
      <c r="O252" t="s">
        <v>388</v>
      </c>
    </row>
    <row r="253" spans="1:15" x14ac:dyDescent="0.25">
      <c r="A253">
        <v>51</v>
      </c>
      <c r="B253" t="s">
        <v>601</v>
      </c>
      <c r="C253" t="s">
        <v>389</v>
      </c>
      <c r="E253">
        <v>51</v>
      </c>
      <c r="F253" t="s">
        <v>782</v>
      </c>
      <c r="G253" t="s">
        <v>389</v>
      </c>
      <c r="I253">
        <v>51</v>
      </c>
      <c r="J253" t="s">
        <v>954</v>
      </c>
      <c r="K253" t="s">
        <v>389</v>
      </c>
      <c r="M253">
        <v>51</v>
      </c>
      <c r="N253" t="s">
        <v>1131</v>
      </c>
      <c r="O253" t="s">
        <v>389</v>
      </c>
    </row>
    <row r="254" spans="1:15" x14ac:dyDescent="0.25">
      <c r="A254">
        <v>52</v>
      </c>
      <c r="B254" t="s">
        <v>602</v>
      </c>
      <c r="C254" t="s">
        <v>390</v>
      </c>
      <c r="E254">
        <v>52</v>
      </c>
      <c r="F254" t="s">
        <v>783</v>
      </c>
      <c r="G254" t="s">
        <v>390</v>
      </c>
      <c r="I254">
        <v>52</v>
      </c>
      <c r="J254" t="s">
        <v>955</v>
      </c>
      <c r="K254" t="s">
        <v>390</v>
      </c>
      <c r="M254">
        <v>52</v>
      </c>
      <c r="N254" t="s">
        <v>1132</v>
      </c>
      <c r="O254" t="s">
        <v>390</v>
      </c>
    </row>
    <row r="255" spans="1:15" x14ac:dyDescent="0.25">
      <c r="A255">
        <v>53</v>
      </c>
      <c r="B255" t="s">
        <v>603</v>
      </c>
      <c r="C255" t="s">
        <v>391</v>
      </c>
      <c r="E255">
        <v>53</v>
      </c>
      <c r="F255" t="s">
        <v>784</v>
      </c>
      <c r="G255" t="s">
        <v>391</v>
      </c>
      <c r="I255">
        <v>53</v>
      </c>
      <c r="J255">
        <v>301522</v>
      </c>
      <c r="K255" t="s">
        <v>391</v>
      </c>
      <c r="M255">
        <v>53</v>
      </c>
      <c r="N255" t="s">
        <v>1133</v>
      </c>
      <c r="O255" t="s">
        <v>391</v>
      </c>
    </row>
    <row r="256" spans="1:15" x14ac:dyDescent="0.25">
      <c r="A256">
        <v>54</v>
      </c>
      <c r="B256" t="s">
        <v>604</v>
      </c>
      <c r="C256" t="s">
        <v>392</v>
      </c>
      <c r="E256">
        <v>54</v>
      </c>
      <c r="F256" t="s">
        <v>785</v>
      </c>
      <c r="G256" t="s">
        <v>392</v>
      </c>
      <c r="I256">
        <v>54</v>
      </c>
      <c r="J256" t="s">
        <v>956</v>
      </c>
      <c r="K256" t="s">
        <v>392</v>
      </c>
      <c r="M256">
        <v>54</v>
      </c>
      <c r="N256" t="s">
        <v>1134</v>
      </c>
      <c r="O256" t="s">
        <v>392</v>
      </c>
    </row>
    <row r="257" spans="1:15" x14ac:dyDescent="0.25">
      <c r="A257">
        <v>55</v>
      </c>
      <c r="B257" t="s">
        <v>605</v>
      </c>
      <c r="C257" t="s">
        <v>393</v>
      </c>
      <c r="E257">
        <v>55</v>
      </c>
      <c r="F257" t="s">
        <v>786</v>
      </c>
      <c r="G257" t="s">
        <v>393</v>
      </c>
      <c r="I257">
        <v>55</v>
      </c>
      <c r="J257" t="s">
        <v>957</v>
      </c>
      <c r="K257" t="s">
        <v>393</v>
      </c>
      <c r="M257">
        <v>55</v>
      </c>
      <c r="N257" t="s">
        <v>1135</v>
      </c>
      <c r="O257" t="s">
        <v>393</v>
      </c>
    </row>
    <row r="258" spans="1:15" x14ac:dyDescent="0.25">
      <c r="A258">
        <v>56</v>
      </c>
      <c r="B258" t="s">
        <v>606</v>
      </c>
      <c r="C258" t="s">
        <v>394</v>
      </c>
      <c r="E258">
        <v>56</v>
      </c>
      <c r="F258" t="s">
        <v>787</v>
      </c>
      <c r="G258" t="s">
        <v>394</v>
      </c>
      <c r="I258">
        <v>56</v>
      </c>
      <c r="J258" t="s">
        <v>958</v>
      </c>
      <c r="K258" t="s">
        <v>394</v>
      </c>
      <c r="M258">
        <v>56</v>
      </c>
      <c r="N258" t="s">
        <v>1136</v>
      </c>
      <c r="O258" t="s">
        <v>394</v>
      </c>
    </row>
    <row r="259" spans="1:15" x14ac:dyDescent="0.25">
      <c r="A259">
        <v>57</v>
      </c>
      <c r="B259" t="s">
        <v>607</v>
      </c>
      <c r="C259" t="s">
        <v>395</v>
      </c>
      <c r="E259">
        <v>57</v>
      </c>
      <c r="F259" t="s">
        <v>788</v>
      </c>
      <c r="G259" t="s">
        <v>395</v>
      </c>
      <c r="I259">
        <v>57</v>
      </c>
      <c r="J259" t="s">
        <v>959</v>
      </c>
      <c r="K259" t="s">
        <v>395</v>
      </c>
      <c r="M259">
        <v>57</v>
      </c>
      <c r="N259" t="s">
        <v>1137</v>
      </c>
      <c r="O259" t="s">
        <v>395</v>
      </c>
    </row>
    <row r="260" spans="1:15" x14ac:dyDescent="0.25">
      <c r="A260">
        <v>58</v>
      </c>
      <c r="B260" t="s">
        <v>608</v>
      </c>
      <c r="C260" t="s">
        <v>396</v>
      </c>
      <c r="E260">
        <v>58</v>
      </c>
      <c r="F260" t="s">
        <v>789</v>
      </c>
      <c r="G260" t="s">
        <v>396</v>
      </c>
      <c r="I260">
        <v>58</v>
      </c>
      <c r="J260">
        <v>301380</v>
      </c>
      <c r="K260" t="s">
        <v>396</v>
      </c>
      <c r="M260">
        <v>58</v>
      </c>
      <c r="N260" t="s">
        <v>1138</v>
      </c>
      <c r="O260" t="s">
        <v>396</v>
      </c>
    </row>
    <row r="261" spans="1:15" x14ac:dyDescent="0.25">
      <c r="A261">
        <v>59</v>
      </c>
      <c r="B261" t="s">
        <v>609</v>
      </c>
      <c r="C261" t="s">
        <v>397</v>
      </c>
      <c r="E261">
        <v>59</v>
      </c>
      <c r="F261" t="s">
        <v>790</v>
      </c>
      <c r="G261" t="s">
        <v>397</v>
      </c>
      <c r="I261">
        <v>59</v>
      </c>
      <c r="J261" t="s">
        <v>960</v>
      </c>
      <c r="K261" t="s">
        <v>397</v>
      </c>
      <c r="M261">
        <v>59</v>
      </c>
      <c r="N261" t="s">
        <v>1139</v>
      </c>
      <c r="O261" t="s">
        <v>397</v>
      </c>
    </row>
    <row r="262" spans="1:15" x14ac:dyDescent="0.25">
      <c r="A262">
        <v>60</v>
      </c>
      <c r="B262" t="s">
        <v>610</v>
      </c>
      <c r="C262" t="s">
        <v>398</v>
      </c>
      <c r="E262">
        <v>60</v>
      </c>
      <c r="F262">
        <v>301747</v>
      </c>
      <c r="G262" t="s">
        <v>398</v>
      </c>
      <c r="I262">
        <v>60</v>
      </c>
      <c r="J262" t="s">
        <v>961</v>
      </c>
      <c r="K262" t="s">
        <v>398</v>
      </c>
      <c r="M262">
        <v>60</v>
      </c>
      <c r="N262" t="s">
        <v>1140</v>
      </c>
      <c r="O262" t="s">
        <v>398</v>
      </c>
    </row>
    <row r="263" spans="1:15" x14ac:dyDescent="0.25">
      <c r="A263">
        <v>61</v>
      </c>
      <c r="B263" t="s">
        <v>611</v>
      </c>
      <c r="C263" t="s">
        <v>399</v>
      </c>
      <c r="E263">
        <v>61</v>
      </c>
      <c r="F263" t="s">
        <v>791</v>
      </c>
      <c r="G263" t="s">
        <v>399</v>
      </c>
      <c r="I263">
        <v>61</v>
      </c>
      <c r="J263" t="s">
        <v>962</v>
      </c>
      <c r="K263" t="s">
        <v>399</v>
      </c>
      <c r="M263">
        <v>61</v>
      </c>
      <c r="N263" t="s">
        <v>1141</v>
      </c>
      <c r="O263" t="s">
        <v>399</v>
      </c>
    </row>
    <row r="264" spans="1:15" x14ac:dyDescent="0.25">
      <c r="A264">
        <v>62</v>
      </c>
      <c r="B264" t="s">
        <v>612</v>
      </c>
      <c r="C264" t="s">
        <v>400</v>
      </c>
      <c r="E264">
        <v>62</v>
      </c>
      <c r="F264">
        <v>301884</v>
      </c>
      <c r="G264" t="s">
        <v>400</v>
      </c>
      <c r="I264">
        <v>62</v>
      </c>
      <c r="J264" t="s">
        <v>963</v>
      </c>
      <c r="K264" t="s">
        <v>400</v>
      </c>
      <c r="M264">
        <v>62</v>
      </c>
      <c r="N264" t="s">
        <v>1142</v>
      </c>
      <c r="O264" t="s">
        <v>400</v>
      </c>
    </row>
    <row r="265" spans="1:15" x14ac:dyDescent="0.25">
      <c r="A265">
        <v>63</v>
      </c>
      <c r="B265" t="s">
        <v>613</v>
      </c>
      <c r="C265" t="s">
        <v>401</v>
      </c>
      <c r="E265">
        <v>63</v>
      </c>
      <c r="F265" t="s">
        <v>792</v>
      </c>
      <c r="G265" t="s">
        <v>401</v>
      </c>
      <c r="I265">
        <v>63</v>
      </c>
      <c r="J265" t="s">
        <v>964</v>
      </c>
      <c r="K265" t="s">
        <v>401</v>
      </c>
      <c r="M265">
        <v>63</v>
      </c>
      <c r="N265" t="s">
        <v>1143</v>
      </c>
      <c r="O265" t="s">
        <v>401</v>
      </c>
    </row>
    <row r="266" spans="1:15" x14ac:dyDescent="0.25">
      <c r="A266">
        <v>64</v>
      </c>
      <c r="B266">
        <v>302898</v>
      </c>
      <c r="C266" t="s">
        <v>402</v>
      </c>
      <c r="E266">
        <v>64</v>
      </c>
      <c r="F266" t="s">
        <v>793</v>
      </c>
      <c r="G266" t="s">
        <v>402</v>
      </c>
      <c r="I266">
        <v>64</v>
      </c>
      <c r="J266" t="s">
        <v>965</v>
      </c>
      <c r="K266" t="s">
        <v>402</v>
      </c>
      <c r="M266">
        <v>64</v>
      </c>
      <c r="N266" t="s">
        <v>1144</v>
      </c>
      <c r="O266" t="s">
        <v>402</v>
      </c>
    </row>
    <row r="267" spans="1:15" x14ac:dyDescent="0.25">
      <c r="A267">
        <v>65</v>
      </c>
      <c r="B267" t="s">
        <v>614</v>
      </c>
      <c r="C267" t="s">
        <v>403</v>
      </c>
      <c r="E267">
        <v>65</v>
      </c>
      <c r="F267" t="s">
        <v>794</v>
      </c>
      <c r="G267" t="s">
        <v>403</v>
      </c>
      <c r="I267">
        <v>65</v>
      </c>
      <c r="J267" t="s">
        <v>966</v>
      </c>
      <c r="K267" t="s">
        <v>403</v>
      </c>
      <c r="M267">
        <v>65</v>
      </c>
      <c r="N267" t="s">
        <v>1145</v>
      </c>
      <c r="O267" t="s">
        <v>403</v>
      </c>
    </row>
    <row r="268" spans="1:15" x14ac:dyDescent="0.25">
      <c r="A268">
        <v>66</v>
      </c>
      <c r="B268" t="s">
        <v>615</v>
      </c>
      <c r="C268" t="s">
        <v>404</v>
      </c>
      <c r="E268">
        <v>66</v>
      </c>
      <c r="F268" t="s">
        <v>795</v>
      </c>
      <c r="G268" t="s">
        <v>404</v>
      </c>
      <c r="I268">
        <v>66</v>
      </c>
      <c r="J268" t="s">
        <v>967</v>
      </c>
      <c r="K268" t="s">
        <v>404</v>
      </c>
      <c r="M268">
        <v>66</v>
      </c>
      <c r="N268" t="s">
        <v>1146</v>
      </c>
      <c r="O268" t="s">
        <v>404</v>
      </c>
    </row>
    <row r="269" spans="1:15" x14ac:dyDescent="0.25">
      <c r="A269">
        <v>67</v>
      </c>
      <c r="B269" t="s">
        <v>616</v>
      </c>
      <c r="C269" t="s">
        <v>405</v>
      </c>
      <c r="E269">
        <v>67</v>
      </c>
      <c r="F269" t="s">
        <v>796</v>
      </c>
      <c r="G269" t="s">
        <v>405</v>
      </c>
      <c r="I269">
        <v>67</v>
      </c>
      <c r="J269" t="s">
        <v>968</v>
      </c>
      <c r="K269" t="s">
        <v>405</v>
      </c>
      <c r="M269">
        <v>67</v>
      </c>
      <c r="N269" t="s">
        <v>1147</v>
      </c>
      <c r="O269" t="s">
        <v>405</v>
      </c>
    </row>
    <row r="270" spans="1:15" x14ac:dyDescent="0.25">
      <c r="A270">
        <v>68</v>
      </c>
      <c r="B270" t="s">
        <v>617</v>
      </c>
      <c r="C270" t="s">
        <v>406</v>
      </c>
      <c r="E270">
        <v>68</v>
      </c>
      <c r="F270" t="s">
        <v>797</v>
      </c>
      <c r="G270" t="s">
        <v>406</v>
      </c>
      <c r="I270">
        <v>68</v>
      </c>
      <c r="J270" t="s">
        <v>969</v>
      </c>
      <c r="K270" t="s">
        <v>406</v>
      </c>
      <c r="M270">
        <v>68</v>
      </c>
      <c r="N270" t="s">
        <v>1148</v>
      </c>
      <c r="O270" t="s">
        <v>406</v>
      </c>
    </row>
    <row r="271" spans="1:15" x14ac:dyDescent="0.25">
      <c r="A271">
        <v>69</v>
      </c>
      <c r="B271">
        <v>302729</v>
      </c>
      <c r="C271" t="s">
        <v>407</v>
      </c>
      <c r="E271">
        <v>69</v>
      </c>
      <c r="F271" t="s">
        <v>798</v>
      </c>
      <c r="G271" t="s">
        <v>407</v>
      </c>
      <c r="I271">
        <v>69</v>
      </c>
      <c r="J271" t="s">
        <v>970</v>
      </c>
      <c r="K271" t="s">
        <v>407</v>
      </c>
      <c r="M271">
        <v>69</v>
      </c>
      <c r="N271" t="s">
        <v>1149</v>
      </c>
      <c r="O271" t="s">
        <v>407</v>
      </c>
    </row>
    <row r="272" spans="1:15" x14ac:dyDescent="0.25">
      <c r="A272">
        <v>70</v>
      </c>
      <c r="B272" t="s">
        <v>618</v>
      </c>
      <c r="C272" t="s">
        <v>408</v>
      </c>
      <c r="E272">
        <v>70</v>
      </c>
      <c r="F272" t="s">
        <v>799</v>
      </c>
      <c r="G272" t="s">
        <v>408</v>
      </c>
      <c r="I272">
        <v>70</v>
      </c>
      <c r="J272" t="s">
        <v>971</v>
      </c>
      <c r="K272" t="s">
        <v>408</v>
      </c>
      <c r="M272">
        <v>70</v>
      </c>
      <c r="N272" t="s">
        <v>1150</v>
      </c>
      <c r="O272" t="s">
        <v>408</v>
      </c>
    </row>
    <row r="273" spans="1:15" x14ac:dyDescent="0.25">
      <c r="A273">
        <v>71</v>
      </c>
      <c r="B273" t="s">
        <v>619</v>
      </c>
      <c r="C273" t="s">
        <v>409</v>
      </c>
      <c r="E273">
        <v>71</v>
      </c>
      <c r="F273" t="s">
        <v>800</v>
      </c>
      <c r="G273" t="s">
        <v>409</v>
      </c>
      <c r="I273">
        <v>71</v>
      </c>
      <c r="J273" t="s">
        <v>972</v>
      </c>
      <c r="K273" t="s">
        <v>409</v>
      </c>
      <c r="M273">
        <v>71</v>
      </c>
      <c r="N273" t="s">
        <v>1151</v>
      </c>
      <c r="O273" t="s">
        <v>409</v>
      </c>
    </row>
    <row r="274" spans="1:15" x14ac:dyDescent="0.25">
      <c r="A274">
        <v>72</v>
      </c>
      <c r="B274" t="s">
        <v>620</v>
      </c>
      <c r="C274" t="s">
        <v>410</v>
      </c>
      <c r="E274">
        <v>72</v>
      </c>
      <c r="F274" t="s">
        <v>801</v>
      </c>
      <c r="G274" t="s">
        <v>410</v>
      </c>
      <c r="I274">
        <v>72</v>
      </c>
      <c r="J274" t="s">
        <v>973</v>
      </c>
      <c r="K274" t="s">
        <v>410</v>
      </c>
      <c r="M274">
        <v>72</v>
      </c>
      <c r="N274" t="s">
        <v>1152</v>
      </c>
      <c r="O274" t="s">
        <v>410</v>
      </c>
    </row>
    <row r="275" spans="1:15" x14ac:dyDescent="0.25">
      <c r="A275">
        <v>73</v>
      </c>
      <c r="B275" t="s">
        <v>621</v>
      </c>
      <c r="C275" t="s">
        <v>411</v>
      </c>
      <c r="E275">
        <v>73</v>
      </c>
      <c r="F275" t="s">
        <v>802</v>
      </c>
      <c r="G275" t="s">
        <v>411</v>
      </c>
      <c r="I275">
        <v>73</v>
      </c>
      <c r="J275" t="s">
        <v>974</v>
      </c>
      <c r="K275" t="s">
        <v>411</v>
      </c>
      <c r="M275">
        <v>73</v>
      </c>
      <c r="N275" t="s">
        <v>1153</v>
      </c>
      <c r="O275" t="s">
        <v>411</v>
      </c>
    </row>
    <row r="276" spans="1:15" x14ac:dyDescent="0.25">
      <c r="A276">
        <v>74</v>
      </c>
      <c r="B276" t="s">
        <v>622</v>
      </c>
      <c r="C276" t="s">
        <v>412</v>
      </c>
      <c r="E276">
        <v>74</v>
      </c>
      <c r="F276" t="s">
        <v>803</v>
      </c>
      <c r="G276" t="s">
        <v>412</v>
      </c>
      <c r="I276">
        <v>74</v>
      </c>
      <c r="J276" t="s">
        <v>975</v>
      </c>
      <c r="K276" t="s">
        <v>412</v>
      </c>
      <c r="M276">
        <v>74</v>
      </c>
      <c r="N276" t="s">
        <v>1154</v>
      </c>
      <c r="O276" t="s">
        <v>412</v>
      </c>
    </row>
    <row r="277" spans="1:15" x14ac:dyDescent="0.25">
      <c r="A277">
        <v>75</v>
      </c>
      <c r="B277" t="s">
        <v>623</v>
      </c>
      <c r="C277" t="s">
        <v>413</v>
      </c>
      <c r="E277">
        <v>75</v>
      </c>
      <c r="F277" t="s">
        <v>804</v>
      </c>
      <c r="G277" t="s">
        <v>413</v>
      </c>
      <c r="I277">
        <v>75</v>
      </c>
      <c r="J277" t="s">
        <v>976</v>
      </c>
      <c r="K277" t="s">
        <v>413</v>
      </c>
      <c r="M277">
        <v>75</v>
      </c>
      <c r="N277">
        <v>304696</v>
      </c>
      <c r="O277" t="s">
        <v>413</v>
      </c>
    </row>
    <row r="278" spans="1:15" x14ac:dyDescent="0.25">
      <c r="A278">
        <v>76</v>
      </c>
      <c r="B278" t="s">
        <v>624</v>
      </c>
      <c r="C278" t="s">
        <v>414</v>
      </c>
      <c r="E278">
        <v>76</v>
      </c>
      <c r="F278" t="s">
        <v>805</v>
      </c>
      <c r="G278" t="s">
        <v>414</v>
      </c>
      <c r="I278">
        <v>76</v>
      </c>
      <c r="J278" t="s">
        <v>977</v>
      </c>
      <c r="K278" t="s">
        <v>414</v>
      </c>
      <c r="M278">
        <v>76</v>
      </c>
      <c r="N278" t="s">
        <v>1155</v>
      </c>
      <c r="O278" t="s">
        <v>414</v>
      </c>
    </row>
    <row r="279" spans="1:15" x14ac:dyDescent="0.25">
      <c r="A279">
        <v>77</v>
      </c>
      <c r="B279" t="s">
        <v>625</v>
      </c>
      <c r="C279" t="s">
        <v>415</v>
      </c>
      <c r="E279">
        <v>77</v>
      </c>
      <c r="F279">
        <v>306769</v>
      </c>
      <c r="G279" t="s">
        <v>415</v>
      </c>
      <c r="I279">
        <v>77</v>
      </c>
      <c r="J279" t="s">
        <v>978</v>
      </c>
      <c r="K279" t="s">
        <v>415</v>
      </c>
      <c r="M279">
        <v>77</v>
      </c>
      <c r="N279" t="s">
        <v>1156</v>
      </c>
      <c r="O279" t="s">
        <v>415</v>
      </c>
    </row>
    <row r="280" spans="1:15" x14ac:dyDescent="0.25">
      <c r="A280">
        <v>78</v>
      </c>
      <c r="B280" t="s">
        <v>626</v>
      </c>
      <c r="C280" t="s">
        <v>416</v>
      </c>
      <c r="E280">
        <v>78</v>
      </c>
      <c r="F280" t="s">
        <v>806</v>
      </c>
      <c r="G280" t="s">
        <v>416</v>
      </c>
      <c r="I280">
        <v>78</v>
      </c>
      <c r="J280" t="s">
        <v>979</v>
      </c>
      <c r="K280" t="s">
        <v>416</v>
      </c>
      <c r="M280">
        <v>78</v>
      </c>
      <c r="N280" t="s">
        <v>1157</v>
      </c>
      <c r="O280" t="s">
        <v>416</v>
      </c>
    </row>
    <row r="281" spans="1:15" x14ac:dyDescent="0.25">
      <c r="A281">
        <v>79</v>
      </c>
      <c r="B281" t="s">
        <v>627</v>
      </c>
      <c r="C281" t="s">
        <v>417</v>
      </c>
      <c r="E281">
        <v>79</v>
      </c>
      <c r="F281" t="s">
        <v>807</v>
      </c>
      <c r="G281" t="s">
        <v>417</v>
      </c>
      <c r="I281">
        <v>79</v>
      </c>
      <c r="J281" t="s">
        <v>980</v>
      </c>
      <c r="K281" t="s">
        <v>417</v>
      </c>
      <c r="M281">
        <v>79</v>
      </c>
      <c r="N281" t="s">
        <v>1158</v>
      </c>
      <c r="O281" t="s">
        <v>417</v>
      </c>
    </row>
    <row r="282" spans="1:15" x14ac:dyDescent="0.25">
      <c r="A282">
        <v>80</v>
      </c>
      <c r="B282" t="s">
        <v>628</v>
      </c>
      <c r="C282" t="s">
        <v>418</v>
      </c>
      <c r="E282">
        <v>80</v>
      </c>
      <c r="F282" t="s">
        <v>808</v>
      </c>
      <c r="G282" t="s">
        <v>418</v>
      </c>
      <c r="I282">
        <v>80</v>
      </c>
      <c r="J282" t="s">
        <v>981</v>
      </c>
      <c r="K282" t="s">
        <v>418</v>
      </c>
      <c r="M282">
        <v>80</v>
      </c>
      <c r="N282" t="s">
        <v>1159</v>
      </c>
      <c r="O282" t="s">
        <v>418</v>
      </c>
    </row>
    <row r="283" spans="1:15" x14ac:dyDescent="0.25">
      <c r="A283">
        <v>81</v>
      </c>
      <c r="B283" t="s">
        <v>629</v>
      </c>
      <c r="C283" t="s">
        <v>419</v>
      </c>
      <c r="E283">
        <v>81</v>
      </c>
      <c r="F283" t="s">
        <v>809</v>
      </c>
      <c r="G283" t="s">
        <v>419</v>
      </c>
      <c r="I283">
        <v>81</v>
      </c>
      <c r="J283" t="s">
        <v>982</v>
      </c>
      <c r="K283" t="s">
        <v>419</v>
      </c>
      <c r="M283">
        <v>81</v>
      </c>
      <c r="N283" t="s">
        <v>1160</v>
      </c>
      <c r="O283" t="s">
        <v>419</v>
      </c>
    </row>
    <row r="284" spans="1:15" x14ac:dyDescent="0.25">
      <c r="A284">
        <v>82</v>
      </c>
      <c r="B284" t="s">
        <v>630</v>
      </c>
      <c r="C284" t="s">
        <v>420</v>
      </c>
      <c r="E284">
        <v>82</v>
      </c>
      <c r="F284" t="s">
        <v>810</v>
      </c>
      <c r="G284" t="s">
        <v>420</v>
      </c>
      <c r="I284">
        <v>82</v>
      </c>
      <c r="J284" t="s">
        <v>983</v>
      </c>
      <c r="K284" t="s">
        <v>420</v>
      </c>
      <c r="M284">
        <v>82</v>
      </c>
      <c r="N284" t="s">
        <v>1161</v>
      </c>
      <c r="O284" t="s">
        <v>420</v>
      </c>
    </row>
    <row r="285" spans="1:15" x14ac:dyDescent="0.25">
      <c r="A285">
        <v>83</v>
      </c>
      <c r="B285" t="s">
        <v>631</v>
      </c>
      <c r="C285" t="s">
        <v>421</v>
      </c>
      <c r="E285">
        <v>83</v>
      </c>
      <c r="F285" t="s">
        <v>811</v>
      </c>
      <c r="G285" t="s">
        <v>421</v>
      </c>
      <c r="I285">
        <v>83</v>
      </c>
      <c r="J285" t="s">
        <v>984</v>
      </c>
      <c r="K285" t="s">
        <v>421</v>
      </c>
      <c r="M285">
        <v>83</v>
      </c>
      <c r="N285" t="s">
        <v>1162</v>
      </c>
      <c r="O285" t="s">
        <v>421</v>
      </c>
    </row>
    <row r="286" spans="1:15" x14ac:dyDescent="0.25">
      <c r="A286">
        <v>84</v>
      </c>
      <c r="B286" t="s">
        <v>632</v>
      </c>
      <c r="C286" t="s">
        <v>422</v>
      </c>
      <c r="E286">
        <v>84</v>
      </c>
      <c r="F286" t="s">
        <v>812</v>
      </c>
      <c r="G286" t="s">
        <v>422</v>
      </c>
      <c r="I286">
        <v>84</v>
      </c>
      <c r="J286" t="s">
        <v>985</v>
      </c>
      <c r="K286" t="s">
        <v>422</v>
      </c>
      <c r="M286">
        <v>84</v>
      </c>
      <c r="N286" t="s">
        <v>1163</v>
      </c>
      <c r="O286" t="s">
        <v>422</v>
      </c>
    </row>
    <row r="287" spans="1:15" x14ac:dyDescent="0.25">
      <c r="A287">
        <v>85</v>
      </c>
      <c r="B287" t="s">
        <v>633</v>
      </c>
      <c r="C287" t="s">
        <v>423</v>
      </c>
      <c r="E287">
        <v>85</v>
      </c>
      <c r="F287" t="s">
        <v>813</v>
      </c>
      <c r="G287" t="s">
        <v>423</v>
      </c>
      <c r="I287">
        <v>85</v>
      </c>
      <c r="J287">
        <v>315690</v>
      </c>
      <c r="K287" t="s">
        <v>423</v>
      </c>
      <c r="M287">
        <v>85</v>
      </c>
      <c r="N287" t="s">
        <v>1164</v>
      </c>
      <c r="O287" t="s">
        <v>423</v>
      </c>
    </row>
    <row r="288" spans="1:15" x14ac:dyDescent="0.25">
      <c r="A288">
        <v>86</v>
      </c>
      <c r="B288" t="s">
        <v>634</v>
      </c>
      <c r="C288" t="s">
        <v>424</v>
      </c>
      <c r="E288">
        <v>86</v>
      </c>
      <c r="F288" t="s">
        <v>814</v>
      </c>
      <c r="G288" t="s">
        <v>424</v>
      </c>
      <c r="I288">
        <v>86</v>
      </c>
      <c r="J288" t="s">
        <v>986</v>
      </c>
      <c r="K288" t="s">
        <v>424</v>
      </c>
      <c r="M288">
        <v>86</v>
      </c>
      <c r="N288" t="s">
        <v>1165</v>
      </c>
      <c r="O288" t="s">
        <v>424</v>
      </c>
    </row>
    <row r="289" spans="1:15" x14ac:dyDescent="0.25">
      <c r="A289">
        <v>87</v>
      </c>
      <c r="B289" t="s">
        <v>635</v>
      </c>
      <c r="C289" t="s">
        <v>425</v>
      </c>
      <c r="E289">
        <v>87</v>
      </c>
      <c r="F289" t="s">
        <v>815</v>
      </c>
      <c r="G289" t="s">
        <v>425</v>
      </c>
      <c r="I289">
        <v>87</v>
      </c>
      <c r="J289" t="s">
        <v>987</v>
      </c>
      <c r="K289" t="s">
        <v>425</v>
      </c>
      <c r="M289">
        <v>87</v>
      </c>
      <c r="N289">
        <v>316134</v>
      </c>
      <c r="O289" t="s">
        <v>425</v>
      </c>
    </row>
    <row r="290" spans="1:15" x14ac:dyDescent="0.25">
      <c r="A290">
        <v>88</v>
      </c>
      <c r="B290" t="s">
        <v>636</v>
      </c>
      <c r="C290" t="s">
        <v>426</v>
      </c>
      <c r="E290">
        <v>88</v>
      </c>
      <c r="F290" t="s">
        <v>816</v>
      </c>
      <c r="G290" t="s">
        <v>426</v>
      </c>
      <c r="I290">
        <v>88</v>
      </c>
      <c r="J290" t="s">
        <v>988</v>
      </c>
      <c r="K290" t="s">
        <v>426</v>
      </c>
      <c r="M290">
        <v>88</v>
      </c>
      <c r="N290" t="s">
        <v>1166</v>
      </c>
      <c r="O290" t="s">
        <v>426</v>
      </c>
    </row>
    <row r="291" spans="1:15" x14ac:dyDescent="0.25">
      <c r="A291">
        <v>89</v>
      </c>
      <c r="B291" t="s">
        <v>637</v>
      </c>
      <c r="C291" t="s">
        <v>427</v>
      </c>
      <c r="E291">
        <v>89</v>
      </c>
      <c r="F291" t="s">
        <v>817</v>
      </c>
      <c r="G291" t="s">
        <v>427</v>
      </c>
      <c r="I291">
        <v>89</v>
      </c>
      <c r="J291">
        <v>316542</v>
      </c>
      <c r="K291" t="s">
        <v>427</v>
      </c>
      <c r="M291">
        <v>89</v>
      </c>
      <c r="N291" t="s">
        <v>1167</v>
      </c>
      <c r="O291" t="s">
        <v>427</v>
      </c>
    </row>
    <row r="292" spans="1:15" x14ac:dyDescent="0.25">
      <c r="A292">
        <v>90</v>
      </c>
      <c r="B292">
        <v>316011</v>
      </c>
      <c r="C292" t="s">
        <v>428</v>
      </c>
      <c r="E292">
        <v>90</v>
      </c>
      <c r="F292" t="s">
        <v>818</v>
      </c>
      <c r="G292" t="s">
        <v>428</v>
      </c>
      <c r="I292">
        <v>90</v>
      </c>
      <c r="J292" t="s">
        <v>989</v>
      </c>
      <c r="K292" t="s">
        <v>428</v>
      </c>
      <c r="M292">
        <v>90</v>
      </c>
      <c r="N292">
        <v>315112</v>
      </c>
      <c r="O292" t="s">
        <v>428</v>
      </c>
    </row>
    <row r="293" spans="1:15" x14ac:dyDescent="0.25">
      <c r="A293">
        <v>91</v>
      </c>
      <c r="B293" t="s">
        <v>638</v>
      </c>
      <c r="C293" t="s">
        <v>429</v>
      </c>
      <c r="E293">
        <v>91</v>
      </c>
      <c r="F293">
        <v>314013</v>
      </c>
      <c r="G293" t="s">
        <v>429</v>
      </c>
      <c r="I293">
        <v>91</v>
      </c>
      <c r="J293" t="s">
        <v>990</v>
      </c>
      <c r="K293" t="s">
        <v>429</v>
      </c>
      <c r="M293">
        <v>91</v>
      </c>
      <c r="N293" t="s">
        <v>1168</v>
      </c>
      <c r="O293" t="s">
        <v>429</v>
      </c>
    </row>
    <row r="294" spans="1:15" x14ac:dyDescent="0.25">
      <c r="A294">
        <v>92</v>
      </c>
      <c r="B294" t="s">
        <v>639</v>
      </c>
      <c r="C294" t="s">
        <v>430</v>
      </c>
      <c r="E294">
        <v>92</v>
      </c>
      <c r="F294" t="s">
        <v>819</v>
      </c>
      <c r="G294" t="s">
        <v>430</v>
      </c>
      <c r="I294">
        <v>92</v>
      </c>
      <c r="J294" t="s">
        <v>991</v>
      </c>
      <c r="K294" t="s">
        <v>430</v>
      </c>
      <c r="M294">
        <v>92</v>
      </c>
      <c r="N294" t="s">
        <v>1169</v>
      </c>
      <c r="O294" t="s">
        <v>430</v>
      </c>
    </row>
    <row r="295" spans="1:15" x14ac:dyDescent="0.25">
      <c r="A295">
        <v>93</v>
      </c>
      <c r="B295" t="s">
        <v>640</v>
      </c>
      <c r="C295" t="s">
        <v>431</v>
      </c>
      <c r="E295">
        <v>93</v>
      </c>
      <c r="F295" t="s">
        <v>820</v>
      </c>
      <c r="G295" t="s">
        <v>431</v>
      </c>
      <c r="I295">
        <v>93</v>
      </c>
      <c r="J295" t="s">
        <v>992</v>
      </c>
      <c r="K295" t="s">
        <v>431</v>
      </c>
      <c r="M295">
        <v>93</v>
      </c>
      <c r="N295" t="s">
        <v>1170</v>
      </c>
      <c r="O295" t="s">
        <v>431</v>
      </c>
    </row>
    <row r="296" spans="1:15" x14ac:dyDescent="0.25">
      <c r="A296">
        <v>94</v>
      </c>
      <c r="B296" t="s">
        <v>641</v>
      </c>
      <c r="C296" t="s">
        <v>432</v>
      </c>
      <c r="E296">
        <v>94</v>
      </c>
      <c r="F296" t="s">
        <v>821</v>
      </c>
      <c r="G296" t="s">
        <v>432</v>
      </c>
      <c r="I296">
        <v>94</v>
      </c>
      <c r="J296" t="s">
        <v>993</v>
      </c>
      <c r="K296" t="s">
        <v>432</v>
      </c>
      <c r="M296">
        <v>94</v>
      </c>
      <c r="N296" t="s">
        <v>1171</v>
      </c>
      <c r="O296" t="s">
        <v>432</v>
      </c>
    </row>
    <row r="297" spans="1:15" x14ac:dyDescent="0.25">
      <c r="A297">
        <v>95</v>
      </c>
      <c r="B297" t="s">
        <v>642</v>
      </c>
      <c r="C297" t="s">
        <v>433</v>
      </c>
      <c r="E297">
        <v>95</v>
      </c>
      <c r="F297" t="s">
        <v>822</v>
      </c>
      <c r="G297" t="s">
        <v>433</v>
      </c>
      <c r="I297">
        <v>95</v>
      </c>
      <c r="J297" t="s">
        <v>994</v>
      </c>
      <c r="K297" t="s">
        <v>433</v>
      </c>
      <c r="M297">
        <v>95</v>
      </c>
      <c r="N297" t="s">
        <v>1172</v>
      </c>
      <c r="O297" t="s">
        <v>433</v>
      </c>
    </row>
    <row r="298" spans="1:15" x14ac:dyDescent="0.25">
      <c r="A298">
        <v>96</v>
      </c>
      <c r="B298" t="s">
        <v>643</v>
      </c>
      <c r="C298" t="s">
        <v>434</v>
      </c>
      <c r="E298">
        <v>96</v>
      </c>
      <c r="F298" t="s">
        <v>823</v>
      </c>
      <c r="G298" t="s">
        <v>434</v>
      </c>
      <c r="I298">
        <v>96</v>
      </c>
      <c r="J298" t="s">
        <v>995</v>
      </c>
      <c r="K298" t="s">
        <v>434</v>
      </c>
      <c r="M298">
        <v>96</v>
      </c>
      <c r="N298" t="s">
        <v>1173</v>
      </c>
      <c r="O298" t="s">
        <v>434</v>
      </c>
    </row>
    <row r="299" spans="1:15" x14ac:dyDescent="0.25">
      <c r="A299">
        <v>97</v>
      </c>
      <c r="B299" t="s">
        <v>644</v>
      </c>
      <c r="C299" t="s">
        <v>435</v>
      </c>
      <c r="E299">
        <v>97</v>
      </c>
      <c r="F299" t="s">
        <v>824</v>
      </c>
      <c r="G299" t="s">
        <v>435</v>
      </c>
      <c r="I299">
        <v>97</v>
      </c>
      <c r="J299" t="s">
        <v>996</v>
      </c>
      <c r="K299" t="s">
        <v>435</v>
      </c>
      <c r="M299">
        <v>97</v>
      </c>
      <c r="N299" t="s">
        <v>1174</v>
      </c>
      <c r="O299" t="s">
        <v>435</v>
      </c>
    </row>
    <row r="300" spans="1:15" x14ac:dyDescent="0.25">
      <c r="A300">
        <v>98</v>
      </c>
      <c r="B300" t="s">
        <v>645</v>
      </c>
      <c r="C300" t="s">
        <v>436</v>
      </c>
      <c r="E300">
        <v>98</v>
      </c>
      <c r="F300" t="s">
        <v>825</v>
      </c>
      <c r="G300" t="s">
        <v>436</v>
      </c>
      <c r="I300">
        <v>98</v>
      </c>
      <c r="J300">
        <v>300270</v>
      </c>
      <c r="K300" t="s">
        <v>436</v>
      </c>
      <c r="M300">
        <v>98</v>
      </c>
      <c r="N300" t="s">
        <v>1175</v>
      </c>
      <c r="O300" t="s">
        <v>436</v>
      </c>
    </row>
    <row r="301" spans="1:15" x14ac:dyDescent="0.25">
      <c r="A301">
        <v>99</v>
      </c>
      <c r="B301" t="s">
        <v>646</v>
      </c>
      <c r="C301" t="s">
        <v>437</v>
      </c>
      <c r="E301">
        <v>99</v>
      </c>
      <c r="F301" t="s">
        <v>826</v>
      </c>
      <c r="G301" t="s">
        <v>437</v>
      </c>
      <c r="I301">
        <v>99</v>
      </c>
      <c r="J301" t="s">
        <v>997</v>
      </c>
      <c r="K301" t="s">
        <v>437</v>
      </c>
      <c r="M301">
        <v>99</v>
      </c>
      <c r="N301" t="s">
        <v>1176</v>
      </c>
      <c r="O301" t="s">
        <v>437</v>
      </c>
    </row>
    <row r="302" spans="1:15" x14ac:dyDescent="0.25">
      <c r="A302">
        <v>100</v>
      </c>
      <c r="B302" t="s">
        <v>647</v>
      </c>
      <c r="C302" t="s">
        <v>438</v>
      </c>
      <c r="E302">
        <v>100</v>
      </c>
      <c r="F302">
        <v>299709</v>
      </c>
      <c r="G302" t="s">
        <v>438</v>
      </c>
      <c r="I302">
        <v>100</v>
      </c>
      <c r="J302">
        <v>298604</v>
      </c>
      <c r="K302" t="s">
        <v>438</v>
      </c>
      <c r="M302">
        <v>100</v>
      </c>
      <c r="N302" t="s">
        <v>1177</v>
      </c>
      <c r="O302" t="s">
        <v>438</v>
      </c>
    </row>
    <row r="303" spans="1:15" x14ac:dyDescent="0.25">
      <c r="A303">
        <v>101</v>
      </c>
      <c r="B303" t="s">
        <v>648</v>
      </c>
      <c r="C303" t="s">
        <v>439</v>
      </c>
      <c r="E303">
        <v>101</v>
      </c>
      <c r="F303" t="s">
        <v>827</v>
      </c>
      <c r="G303" t="s">
        <v>439</v>
      </c>
      <c r="I303">
        <v>101</v>
      </c>
      <c r="J303" t="s">
        <v>998</v>
      </c>
      <c r="K303" t="s">
        <v>439</v>
      </c>
      <c r="M303">
        <v>101</v>
      </c>
      <c r="N303" t="s">
        <v>1178</v>
      </c>
      <c r="O303" t="s">
        <v>439</v>
      </c>
    </row>
    <row r="304" spans="1:15" x14ac:dyDescent="0.25">
      <c r="A304">
        <v>102</v>
      </c>
      <c r="B304" t="s">
        <v>649</v>
      </c>
      <c r="C304" t="s">
        <v>440</v>
      </c>
      <c r="E304">
        <v>102</v>
      </c>
      <c r="F304" t="s">
        <v>828</v>
      </c>
      <c r="G304" t="s">
        <v>440</v>
      </c>
      <c r="I304">
        <v>102</v>
      </c>
      <c r="J304">
        <v>298717</v>
      </c>
      <c r="K304" t="s">
        <v>440</v>
      </c>
      <c r="M304">
        <v>102</v>
      </c>
      <c r="N304" t="s">
        <v>1179</v>
      </c>
      <c r="O304" t="s">
        <v>440</v>
      </c>
    </row>
    <row r="305" spans="1:15" x14ac:dyDescent="0.25">
      <c r="A305">
        <v>103</v>
      </c>
      <c r="B305" t="s">
        <v>650</v>
      </c>
      <c r="C305" t="s">
        <v>441</v>
      </c>
      <c r="E305">
        <v>103</v>
      </c>
      <c r="F305" t="s">
        <v>829</v>
      </c>
      <c r="G305" t="s">
        <v>441</v>
      </c>
      <c r="I305">
        <v>103</v>
      </c>
      <c r="J305" t="s">
        <v>999</v>
      </c>
      <c r="K305" t="s">
        <v>441</v>
      </c>
      <c r="M305">
        <v>103</v>
      </c>
      <c r="N305" t="s">
        <v>1180</v>
      </c>
      <c r="O305" t="s">
        <v>441</v>
      </c>
    </row>
    <row r="306" spans="1:15" x14ac:dyDescent="0.25">
      <c r="A306">
        <v>104</v>
      </c>
      <c r="B306" t="s">
        <v>651</v>
      </c>
      <c r="C306" t="s">
        <v>442</v>
      </c>
      <c r="E306">
        <v>104</v>
      </c>
      <c r="F306">
        <v>299952</v>
      </c>
      <c r="G306" t="s">
        <v>442</v>
      </c>
      <c r="I306">
        <v>104</v>
      </c>
      <c r="J306" t="s">
        <v>1000</v>
      </c>
      <c r="K306" t="s">
        <v>442</v>
      </c>
      <c r="M306">
        <v>104</v>
      </c>
      <c r="N306">
        <v>299069</v>
      </c>
      <c r="O306" t="s">
        <v>442</v>
      </c>
    </row>
    <row r="307" spans="1:15" x14ac:dyDescent="0.25">
      <c r="A307">
        <v>105</v>
      </c>
      <c r="B307" t="s">
        <v>652</v>
      </c>
      <c r="C307" t="s">
        <v>443</v>
      </c>
      <c r="E307">
        <v>105</v>
      </c>
      <c r="F307">
        <v>299975</v>
      </c>
      <c r="G307" t="s">
        <v>443</v>
      </c>
      <c r="I307">
        <v>105</v>
      </c>
      <c r="J307" t="s">
        <v>1001</v>
      </c>
      <c r="K307" t="s">
        <v>443</v>
      </c>
      <c r="M307">
        <v>105</v>
      </c>
      <c r="N307">
        <v>299095</v>
      </c>
      <c r="O307" t="s">
        <v>443</v>
      </c>
    </row>
    <row r="308" spans="1:15" x14ac:dyDescent="0.25">
      <c r="A308">
        <v>106</v>
      </c>
      <c r="B308" t="s">
        <v>653</v>
      </c>
      <c r="C308" t="s">
        <v>444</v>
      </c>
      <c r="E308">
        <v>106</v>
      </c>
      <c r="F308" t="s">
        <v>830</v>
      </c>
      <c r="G308" t="s">
        <v>444</v>
      </c>
      <c r="I308">
        <v>106</v>
      </c>
      <c r="J308" t="s">
        <v>1002</v>
      </c>
      <c r="K308" t="s">
        <v>444</v>
      </c>
      <c r="M308">
        <v>106</v>
      </c>
      <c r="N308" t="s">
        <v>1181</v>
      </c>
      <c r="O308" t="s">
        <v>444</v>
      </c>
    </row>
    <row r="309" spans="1:15" x14ac:dyDescent="0.25">
      <c r="A309">
        <v>107</v>
      </c>
      <c r="B309" t="s">
        <v>654</v>
      </c>
      <c r="C309" t="s">
        <v>445</v>
      </c>
      <c r="E309">
        <v>107</v>
      </c>
      <c r="F309" t="s">
        <v>831</v>
      </c>
      <c r="G309" t="s">
        <v>445</v>
      </c>
      <c r="I309">
        <v>107</v>
      </c>
      <c r="J309" t="s">
        <v>1003</v>
      </c>
      <c r="K309" t="s">
        <v>445</v>
      </c>
      <c r="M309">
        <v>107</v>
      </c>
      <c r="N309" t="s">
        <v>1182</v>
      </c>
      <c r="O309" t="s">
        <v>445</v>
      </c>
    </row>
    <row r="310" spans="1:15" x14ac:dyDescent="0.25">
      <c r="A310">
        <v>108</v>
      </c>
      <c r="B310" t="s">
        <v>655</v>
      </c>
      <c r="C310" t="s">
        <v>446</v>
      </c>
      <c r="E310">
        <v>108</v>
      </c>
      <c r="F310" t="s">
        <v>832</v>
      </c>
      <c r="G310" t="s">
        <v>446</v>
      </c>
      <c r="I310">
        <v>108</v>
      </c>
      <c r="J310" t="s">
        <v>1004</v>
      </c>
      <c r="K310" t="s">
        <v>446</v>
      </c>
      <c r="M310">
        <v>108</v>
      </c>
      <c r="N310" t="s">
        <v>1183</v>
      </c>
      <c r="O310" t="s">
        <v>446</v>
      </c>
    </row>
    <row r="311" spans="1:15" x14ac:dyDescent="0.25">
      <c r="A311">
        <v>109</v>
      </c>
      <c r="B311">
        <v>299193</v>
      </c>
      <c r="C311" t="s">
        <v>447</v>
      </c>
      <c r="E311">
        <v>109</v>
      </c>
      <c r="F311" t="s">
        <v>833</v>
      </c>
      <c r="G311" t="s">
        <v>447</v>
      </c>
      <c r="I311">
        <v>109</v>
      </c>
      <c r="J311" t="s">
        <v>1005</v>
      </c>
      <c r="K311" t="s">
        <v>447</v>
      </c>
      <c r="M311">
        <v>109</v>
      </c>
      <c r="N311" t="s">
        <v>1184</v>
      </c>
      <c r="O311" t="s">
        <v>447</v>
      </c>
    </row>
    <row r="312" spans="1:15" x14ac:dyDescent="0.25">
      <c r="A312">
        <v>110</v>
      </c>
      <c r="B312" t="s">
        <v>656</v>
      </c>
      <c r="C312" t="s">
        <v>448</v>
      </c>
      <c r="E312">
        <v>110</v>
      </c>
      <c r="F312" t="s">
        <v>834</v>
      </c>
      <c r="G312" t="s">
        <v>448</v>
      </c>
      <c r="I312">
        <v>110</v>
      </c>
      <c r="J312" t="s">
        <v>1006</v>
      </c>
      <c r="K312" t="s">
        <v>448</v>
      </c>
      <c r="M312">
        <v>110</v>
      </c>
      <c r="N312" t="s">
        <v>1185</v>
      </c>
      <c r="O312" t="s">
        <v>448</v>
      </c>
    </row>
    <row r="313" spans="1:15" x14ac:dyDescent="0.25">
      <c r="A313">
        <v>111</v>
      </c>
      <c r="B313" t="s">
        <v>657</v>
      </c>
      <c r="C313" t="s">
        <v>449</v>
      </c>
      <c r="E313">
        <v>111</v>
      </c>
      <c r="F313" t="s">
        <v>835</v>
      </c>
      <c r="G313" t="s">
        <v>449</v>
      </c>
      <c r="I313">
        <v>111</v>
      </c>
      <c r="J313" t="s">
        <v>1007</v>
      </c>
      <c r="K313" t="s">
        <v>449</v>
      </c>
      <c r="M313">
        <v>111</v>
      </c>
      <c r="N313" t="s">
        <v>1186</v>
      </c>
      <c r="O313" t="s">
        <v>449</v>
      </c>
    </row>
    <row r="314" spans="1:15" x14ac:dyDescent="0.25">
      <c r="A314">
        <v>112</v>
      </c>
      <c r="B314" t="s">
        <v>658</v>
      </c>
      <c r="C314" t="s">
        <v>450</v>
      </c>
      <c r="E314">
        <v>112</v>
      </c>
      <c r="F314" t="s">
        <v>836</v>
      </c>
      <c r="G314" t="s">
        <v>450</v>
      </c>
      <c r="I314">
        <v>112</v>
      </c>
      <c r="J314" t="s">
        <v>1008</v>
      </c>
      <c r="K314" t="s">
        <v>450</v>
      </c>
      <c r="M314">
        <v>112</v>
      </c>
      <c r="N314" t="s">
        <v>1187</v>
      </c>
      <c r="O314" t="s">
        <v>450</v>
      </c>
    </row>
    <row r="315" spans="1:15" x14ac:dyDescent="0.25">
      <c r="A315">
        <v>113</v>
      </c>
      <c r="B315" t="s">
        <v>659</v>
      </c>
      <c r="C315" t="s">
        <v>451</v>
      </c>
      <c r="E315">
        <v>113</v>
      </c>
      <c r="F315" t="s">
        <v>837</v>
      </c>
      <c r="G315" t="s">
        <v>451</v>
      </c>
      <c r="I315">
        <v>113</v>
      </c>
      <c r="J315" t="s">
        <v>1009</v>
      </c>
      <c r="K315" t="s">
        <v>451</v>
      </c>
      <c r="M315">
        <v>113</v>
      </c>
      <c r="N315" t="s">
        <v>1188</v>
      </c>
      <c r="O315" t="s">
        <v>451</v>
      </c>
    </row>
    <row r="316" spans="1:15" x14ac:dyDescent="0.25">
      <c r="A316">
        <v>114</v>
      </c>
      <c r="B316" t="s">
        <v>660</v>
      </c>
      <c r="C316" t="s">
        <v>452</v>
      </c>
      <c r="E316">
        <v>114</v>
      </c>
      <c r="F316" t="s">
        <v>838</v>
      </c>
      <c r="G316" t="s">
        <v>452</v>
      </c>
      <c r="I316">
        <v>114</v>
      </c>
      <c r="J316" t="s">
        <v>1010</v>
      </c>
      <c r="K316" t="s">
        <v>452</v>
      </c>
      <c r="M316">
        <v>114</v>
      </c>
      <c r="N316" t="s">
        <v>1189</v>
      </c>
      <c r="O316" t="s">
        <v>452</v>
      </c>
    </row>
    <row r="317" spans="1:15" x14ac:dyDescent="0.25">
      <c r="A317">
        <v>115</v>
      </c>
      <c r="B317" t="s">
        <v>661</v>
      </c>
      <c r="C317" t="s">
        <v>453</v>
      </c>
      <c r="E317">
        <v>115</v>
      </c>
      <c r="F317" t="s">
        <v>839</v>
      </c>
      <c r="G317" t="s">
        <v>453</v>
      </c>
      <c r="I317">
        <v>115</v>
      </c>
      <c r="J317" t="s">
        <v>1011</v>
      </c>
      <c r="K317" t="s">
        <v>453</v>
      </c>
      <c r="M317">
        <v>115</v>
      </c>
      <c r="N317" t="s">
        <v>1190</v>
      </c>
      <c r="O317" t="s">
        <v>453</v>
      </c>
    </row>
    <row r="318" spans="1:15" x14ac:dyDescent="0.25">
      <c r="A318">
        <v>116</v>
      </c>
      <c r="B318" t="s">
        <v>662</v>
      </c>
      <c r="C318" t="s">
        <v>454</v>
      </c>
      <c r="E318">
        <v>116</v>
      </c>
      <c r="F318" t="s">
        <v>840</v>
      </c>
      <c r="G318" t="s">
        <v>454</v>
      </c>
      <c r="I318">
        <v>116</v>
      </c>
      <c r="J318" t="s">
        <v>1012</v>
      </c>
      <c r="K318" t="s">
        <v>454</v>
      </c>
      <c r="M318">
        <v>116</v>
      </c>
      <c r="N318" t="s">
        <v>1191</v>
      </c>
      <c r="O318" t="s">
        <v>454</v>
      </c>
    </row>
    <row r="319" spans="1:15" x14ac:dyDescent="0.25">
      <c r="A319">
        <v>117</v>
      </c>
      <c r="B319" t="s">
        <v>663</v>
      </c>
      <c r="C319" t="s">
        <v>455</v>
      </c>
      <c r="E319">
        <v>117</v>
      </c>
      <c r="F319" t="s">
        <v>841</v>
      </c>
      <c r="G319" t="s">
        <v>455</v>
      </c>
      <c r="I319">
        <v>117</v>
      </c>
      <c r="J319">
        <v>298402</v>
      </c>
      <c r="K319" t="s">
        <v>455</v>
      </c>
      <c r="M319">
        <v>117</v>
      </c>
      <c r="N319" t="s">
        <v>1177</v>
      </c>
      <c r="O319" t="s">
        <v>455</v>
      </c>
    </row>
    <row r="320" spans="1:15" x14ac:dyDescent="0.25">
      <c r="A320">
        <v>118</v>
      </c>
      <c r="B320" t="s">
        <v>664</v>
      </c>
      <c r="C320" t="s">
        <v>456</v>
      </c>
      <c r="E320">
        <v>118</v>
      </c>
      <c r="F320" t="s">
        <v>842</v>
      </c>
      <c r="G320" t="s">
        <v>456</v>
      </c>
      <c r="I320">
        <v>118</v>
      </c>
      <c r="J320" t="s">
        <v>1013</v>
      </c>
      <c r="K320" t="s">
        <v>456</v>
      </c>
      <c r="M320">
        <v>118</v>
      </c>
      <c r="N320" t="s">
        <v>1192</v>
      </c>
      <c r="O320" t="s">
        <v>456</v>
      </c>
    </row>
    <row r="321" spans="1:15" x14ac:dyDescent="0.25">
      <c r="A321">
        <v>119</v>
      </c>
      <c r="B321">
        <v>298824</v>
      </c>
      <c r="C321" t="s">
        <v>457</v>
      </c>
      <c r="E321">
        <v>119</v>
      </c>
      <c r="F321" t="s">
        <v>843</v>
      </c>
      <c r="G321" t="s">
        <v>457</v>
      </c>
      <c r="I321">
        <v>119</v>
      </c>
      <c r="J321" t="s">
        <v>1014</v>
      </c>
      <c r="K321" t="s">
        <v>457</v>
      </c>
      <c r="M321">
        <v>119</v>
      </c>
      <c r="N321" t="s">
        <v>1193</v>
      </c>
      <c r="O321" t="s">
        <v>457</v>
      </c>
    </row>
    <row r="322" spans="1:15" x14ac:dyDescent="0.25">
      <c r="A322">
        <v>120</v>
      </c>
      <c r="B322" t="s">
        <v>665</v>
      </c>
      <c r="C322" t="s">
        <v>458</v>
      </c>
      <c r="E322">
        <v>120</v>
      </c>
      <c r="F322" t="s">
        <v>844</v>
      </c>
      <c r="G322" t="s">
        <v>458</v>
      </c>
      <c r="I322">
        <v>120</v>
      </c>
      <c r="J322" t="s">
        <v>1015</v>
      </c>
      <c r="K322" t="s">
        <v>458</v>
      </c>
      <c r="M322">
        <v>120</v>
      </c>
      <c r="N322" t="s">
        <v>1194</v>
      </c>
      <c r="O322" t="s">
        <v>458</v>
      </c>
    </row>
    <row r="323" spans="1:15" x14ac:dyDescent="0.25">
      <c r="A323">
        <v>121</v>
      </c>
      <c r="B323" t="s">
        <v>666</v>
      </c>
      <c r="C323" t="s">
        <v>459</v>
      </c>
      <c r="E323">
        <v>121</v>
      </c>
      <c r="F323" t="s">
        <v>845</v>
      </c>
      <c r="G323" t="s">
        <v>459</v>
      </c>
      <c r="I323">
        <v>121</v>
      </c>
      <c r="J323" t="s">
        <v>1016</v>
      </c>
      <c r="K323" t="s">
        <v>459</v>
      </c>
      <c r="M323">
        <v>121</v>
      </c>
      <c r="N323" t="s">
        <v>1195</v>
      </c>
      <c r="O323" t="s">
        <v>459</v>
      </c>
    </row>
    <row r="324" spans="1:15" x14ac:dyDescent="0.25">
      <c r="A324">
        <v>122</v>
      </c>
      <c r="B324" t="s">
        <v>667</v>
      </c>
      <c r="C324" t="s">
        <v>460</v>
      </c>
      <c r="E324">
        <v>122</v>
      </c>
      <c r="F324" t="s">
        <v>846</v>
      </c>
      <c r="G324" t="s">
        <v>460</v>
      </c>
      <c r="I324">
        <v>122</v>
      </c>
      <c r="J324" t="s">
        <v>1017</v>
      </c>
      <c r="K324" t="s">
        <v>460</v>
      </c>
      <c r="M324">
        <v>122</v>
      </c>
      <c r="N324" t="s">
        <v>1196</v>
      </c>
      <c r="O324" t="s">
        <v>460</v>
      </c>
    </row>
    <row r="325" spans="1:15" x14ac:dyDescent="0.25">
      <c r="A325">
        <v>123</v>
      </c>
      <c r="B325" t="s">
        <v>668</v>
      </c>
      <c r="C325" t="s">
        <v>461</v>
      </c>
      <c r="E325">
        <v>123</v>
      </c>
      <c r="F325" t="s">
        <v>847</v>
      </c>
      <c r="G325" t="s">
        <v>461</v>
      </c>
      <c r="I325">
        <v>123</v>
      </c>
      <c r="J325" t="s">
        <v>1018</v>
      </c>
      <c r="K325" t="s">
        <v>461</v>
      </c>
      <c r="M325">
        <v>123</v>
      </c>
      <c r="N325" t="s">
        <v>1197</v>
      </c>
      <c r="O325" t="s">
        <v>461</v>
      </c>
    </row>
    <row r="326" spans="1:15" x14ac:dyDescent="0.25">
      <c r="A326">
        <v>124</v>
      </c>
      <c r="B326">
        <v>298881</v>
      </c>
      <c r="C326" t="s">
        <v>462</v>
      </c>
      <c r="E326">
        <v>124</v>
      </c>
      <c r="F326" t="s">
        <v>848</v>
      </c>
      <c r="G326" t="s">
        <v>462</v>
      </c>
      <c r="I326">
        <v>124</v>
      </c>
      <c r="J326" t="s">
        <v>1019</v>
      </c>
      <c r="K326" t="s">
        <v>462</v>
      </c>
      <c r="M326">
        <v>124</v>
      </c>
      <c r="N326" t="s">
        <v>1198</v>
      </c>
      <c r="O326" t="s">
        <v>462</v>
      </c>
    </row>
    <row r="327" spans="1:15" x14ac:dyDescent="0.25">
      <c r="A327">
        <v>125</v>
      </c>
      <c r="B327" t="s">
        <v>669</v>
      </c>
      <c r="C327" t="s">
        <v>463</v>
      </c>
      <c r="E327">
        <v>125</v>
      </c>
      <c r="F327" t="s">
        <v>849</v>
      </c>
      <c r="G327" t="s">
        <v>463</v>
      </c>
      <c r="I327">
        <v>125</v>
      </c>
      <c r="J327" t="s">
        <v>1020</v>
      </c>
      <c r="K327" t="s">
        <v>463</v>
      </c>
      <c r="M327">
        <v>125</v>
      </c>
      <c r="N327" t="s">
        <v>1199</v>
      </c>
      <c r="O327" t="s">
        <v>463</v>
      </c>
    </row>
    <row r="328" spans="1:15" x14ac:dyDescent="0.25">
      <c r="A328">
        <v>126</v>
      </c>
      <c r="B328" t="s">
        <v>670</v>
      </c>
      <c r="C328" t="s">
        <v>464</v>
      </c>
      <c r="E328">
        <v>126</v>
      </c>
      <c r="F328" t="s">
        <v>850</v>
      </c>
      <c r="G328" t="s">
        <v>464</v>
      </c>
      <c r="I328">
        <v>126</v>
      </c>
      <c r="J328" t="s">
        <v>1021</v>
      </c>
      <c r="K328" t="s">
        <v>464</v>
      </c>
      <c r="M328">
        <v>126</v>
      </c>
      <c r="N328" t="s">
        <v>1200</v>
      </c>
      <c r="O328" t="s">
        <v>464</v>
      </c>
    </row>
    <row r="329" spans="1:15" x14ac:dyDescent="0.25">
      <c r="A329">
        <v>127</v>
      </c>
      <c r="B329" t="s">
        <v>671</v>
      </c>
      <c r="C329" t="s">
        <v>465</v>
      </c>
      <c r="E329">
        <v>127</v>
      </c>
      <c r="F329" t="s">
        <v>851</v>
      </c>
      <c r="G329" t="s">
        <v>465</v>
      </c>
      <c r="I329">
        <v>127</v>
      </c>
      <c r="J329" t="s">
        <v>1022</v>
      </c>
      <c r="K329" t="s">
        <v>465</v>
      </c>
      <c r="M329">
        <v>127</v>
      </c>
      <c r="N329" t="s">
        <v>1201</v>
      </c>
      <c r="O329" t="s">
        <v>465</v>
      </c>
    </row>
    <row r="330" spans="1:15" x14ac:dyDescent="0.25">
      <c r="A330">
        <v>128</v>
      </c>
      <c r="B330" t="s">
        <v>672</v>
      </c>
      <c r="C330" t="s">
        <v>466</v>
      </c>
      <c r="E330">
        <v>128</v>
      </c>
      <c r="F330" t="s">
        <v>852</v>
      </c>
      <c r="G330" t="s">
        <v>466</v>
      </c>
      <c r="I330">
        <v>128</v>
      </c>
      <c r="J330" t="s">
        <v>1023</v>
      </c>
      <c r="K330" t="s">
        <v>466</v>
      </c>
      <c r="M330">
        <v>128</v>
      </c>
      <c r="N330" t="s">
        <v>1202</v>
      </c>
      <c r="O330" t="s">
        <v>466</v>
      </c>
    </row>
    <row r="331" spans="1:15" x14ac:dyDescent="0.25">
      <c r="A331">
        <v>129</v>
      </c>
      <c r="B331" t="s">
        <v>673</v>
      </c>
      <c r="C331" t="s">
        <v>467</v>
      </c>
      <c r="E331">
        <v>129</v>
      </c>
      <c r="F331" t="s">
        <v>853</v>
      </c>
      <c r="G331" t="s">
        <v>467</v>
      </c>
      <c r="I331">
        <v>129</v>
      </c>
      <c r="J331" t="s">
        <v>1024</v>
      </c>
      <c r="K331" t="s">
        <v>467</v>
      </c>
      <c r="M331">
        <v>129</v>
      </c>
      <c r="N331" t="s">
        <v>1203</v>
      </c>
      <c r="O331" t="s">
        <v>467</v>
      </c>
    </row>
    <row r="332" spans="1:15" x14ac:dyDescent="0.25">
      <c r="A332">
        <v>130</v>
      </c>
      <c r="B332" t="s">
        <v>674</v>
      </c>
      <c r="C332" t="s">
        <v>468</v>
      </c>
      <c r="E332">
        <v>130</v>
      </c>
      <c r="F332" t="s">
        <v>854</v>
      </c>
      <c r="G332" t="s">
        <v>468</v>
      </c>
      <c r="I332">
        <v>130</v>
      </c>
      <c r="J332" t="s">
        <v>1025</v>
      </c>
      <c r="K332" t="s">
        <v>468</v>
      </c>
      <c r="M332">
        <v>130</v>
      </c>
      <c r="N332" t="s">
        <v>1204</v>
      </c>
      <c r="O332" t="s">
        <v>468</v>
      </c>
    </row>
    <row r="333" spans="1:15" x14ac:dyDescent="0.25">
      <c r="A333">
        <v>131</v>
      </c>
      <c r="B333" t="s">
        <v>675</v>
      </c>
      <c r="C333" t="s">
        <v>469</v>
      </c>
      <c r="E333">
        <v>131</v>
      </c>
      <c r="F333" t="s">
        <v>855</v>
      </c>
      <c r="G333" t="s">
        <v>469</v>
      </c>
      <c r="I333">
        <v>131</v>
      </c>
      <c r="J333" t="s">
        <v>1026</v>
      </c>
      <c r="K333" t="s">
        <v>469</v>
      </c>
      <c r="M333">
        <v>131</v>
      </c>
      <c r="N333" t="s">
        <v>1205</v>
      </c>
      <c r="O333" t="s">
        <v>469</v>
      </c>
    </row>
    <row r="334" spans="1:15" x14ac:dyDescent="0.25">
      <c r="A334">
        <v>132</v>
      </c>
      <c r="B334" t="s">
        <v>676</v>
      </c>
      <c r="C334" t="s">
        <v>470</v>
      </c>
      <c r="E334">
        <v>132</v>
      </c>
      <c r="F334" t="s">
        <v>856</v>
      </c>
      <c r="G334" t="s">
        <v>470</v>
      </c>
      <c r="I334">
        <v>132</v>
      </c>
      <c r="J334" t="s">
        <v>1027</v>
      </c>
      <c r="K334" t="s">
        <v>470</v>
      </c>
      <c r="M334">
        <v>132</v>
      </c>
      <c r="N334" t="s">
        <v>1206</v>
      </c>
      <c r="O334" t="s">
        <v>470</v>
      </c>
    </row>
    <row r="335" spans="1:15" x14ac:dyDescent="0.25">
      <c r="A335">
        <v>133</v>
      </c>
      <c r="B335" t="s">
        <v>677</v>
      </c>
      <c r="C335" t="s">
        <v>471</v>
      </c>
      <c r="E335">
        <v>133</v>
      </c>
      <c r="F335" t="s">
        <v>857</v>
      </c>
      <c r="G335" t="s">
        <v>471</v>
      </c>
      <c r="I335">
        <v>133</v>
      </c>
      <c r="J335" t="s">
        <v>1028</v>
      </c>
      <c r="K335" t="s">
        <v>471</v>
      </c>
      <c r="M335">
        <v>133</v>
      </c>
      <c r="N335" t="s">
        <v>1207</v>
      </c>
      <c r="O335" t="s">
        <v>471</v>
      </c>
    </row>
    <row r="336" spans="1:15" x14ac:dyDescent="0.25">
      <c r="A336">
        <v>134</v>
      </c>
      <c r="B336" t="s">
        <v>678</v>
      </c>
      <c r="C336" t="s">
        <v>472</v>
      </c>
      <c r="E336">
        <v>134</v>
      </c>
      <c r="F336" t="s">
        <v>858</v>
      </c>
      <c r="G336" t="s">
        <v>472</v>
      </c>
      <c r="I336">
        <v>134</v>
      </c>
      <c r="J336" t="s">
        <v>1029</v>
      </c>
      <c r="K336" t="s">
        <v>472</v>
      </c>
      <c r="M336">
        <v>134</v>
      </c>
      <c r="N336">
        <v>298043</v>
      </c>
      <c r="O336" t="s">
        <v>472</v>
      </c>
    </row>
    <row r="337" spans="1:15" x14ac:dyDescent="0.25">
      <c r="A337">
        <v>135</v>
      </c>
      <c r="B337" t="s">
        <v>679</v>
      </c>
      <c r="C337" t="s">
        <v>473</v>
      </c>
      <c r="E337">
        <v>135</v>
      </c>
      <c r="F337" t="s">
        <v>859</v>
      </c>
      <c r="G337" t="s">
        <v>473</v>
      </c>
      <c r="I337">
        <v>135</v>
      </c>
      <c r="J337" t="s">
        <v>1030</v>
      </c>
      <c r="K337" t="s">
        <v>473</v>
      </c>
      <c r="M337">
        <v>135</v>
      </c>
      <c r="N337" t="s">
        <v>532</v>
      </c>
      <c r="O337" t="s">
        <v>473</v>
      </c>
    </row>
    <row r="338" spans="1:15" x14ac:dyDescent="0.25">
      <c r="A338">
        <v>136</v>
      </c>
      <c r="B338" t="s">
        <v>680</v>
      </c>
      <c r="C338" t="s">
        <v>474</v>
      </c>
      <c r="E338">
        <v>136</v>
      </c>
      <c r="F338" t="s">
        <v>860</v>
      </c>
      <c r="G338" t="s">
        <v>474</v>
      </c>
      <c r="I338">
        <v>136</v>
      </c>
      <c r="J338" t="s">
        <v>1031</v>
      </c>
      <c r="K338" t="s">
        <v>474</v>
      </c>
      <c r="M338">
        <v>136</v>
      </c>
      <c r="N338" t="s">
        <v>1208</v>
      </c>
      <c r="O338" t="s">
        <v>474</v>
      </c>
    </row>
    <row r="339" spans="1:15" x14ac:dyDescent="0.25">
      <c r="A339">
        <v>137</v>
      </c>
      <c r="B339" t="s">
        <v>681</v>
      </c>
      <c r="C339" t="s">
        <v>475</v>
      </c>
      <c r="E339">
        <v>137</v>
      </c>
      <c r="F339">
        <v>297994</v>
      </c>
      <c r="G339" t="s">
        <v>475</v>
      </c>
      <c r="I339">
        <v>137</v>
      </c>
      <c r="J339" t="s">
        <v>1032</v>
      </c>
      <c r="K339" t="s">
        <v>475</v>
      </c>
      <c r="M339">
        <v>137</v>
      </c>
      <c r="N339" t="s">
        <v>1209</v>
      </c>
      <c r="O339" t="s">
        <v>475</v>
      </c>
    </row>
    <row r="340" spans="1:15" x14ac:dyDescent="0.25">
      <c r="A340">
        <v>138</v>
      </c>
      <c r="B340" t="s">
        <v>682</v>
      </c>
      <c r="C340" t="s">
        <v>476</v>
      </c>
      <c r="E340">
        <v>138</v>
      </c>
      <c r="F340">
        <v>297856</v>
      </c>
      <c r="G340" t="s">
        <v>476</v>
      </c>
      <c r="I340">
        <v>138</v>
      </c>
      <c r="J340" t="s">
        <v>1033</v>
      </c>
      <c r="K340" t="s">
        <v>476</v>
      </c>
      <c r="M340">
        <v>138</v>
      </c>
      <c r="N340">
        <v>297813</v>
      </c>
      <c r="O340" t="s">
        <v>476</v>
      </c>
    </row>
    <row r="341" spans="1:15" x14ac:dyDescent="0.25">
      <c r="A341">
        <v>139</v>
      </c>
      <c r="B341" t="s">
        <v>683</v>
      </c>
      <c r="C341" t="s">
        <v>477</v>
      </c>
      <c r="E341">
        <v>139</v>
      </c>
      <c r="F341">
        <v>297736</v>
      </c>
      <c r="G341" t="s">
        <v>477</v>
      </c>
      <c r="I341">
        <v>139</v>
      </c>
      <c r="J341" t="s">
        <v>1034</v>
      </c>
      <c r="K341" t="s">
        <v>477</v>
      </c>
      <c r="M341">
        <v>139</v>
      </c>
      <c r="N341" t="s">
        <v>1210</v>
      </c>
      <c r="O341" t="s">
        <v>477</v>
      </c>
    </row>
    <row r="342" spans="1:15" x14ac:dyDescent="0.25">
      <c r="A342">
        <v>140</v>
      </c>
      <c r="B342" t="s">
        <v>684</v>
      </c>
      <c r="C342" t="s">
        <v>478</v>
      </c>
      <c r="E342">
        <v>140</v>
      </c>
      <c r="F342" t="s">
        <v>861</v>
      </c>
      <c r="G342" t="s">
        <v>478</v>
      </c>
      <c r="I342">
        <v>140</v>
      </c>
      <c r="J342" t="s">
        <v>1035</v>
      </c>
      <c r="K342" t="s">
        <v>478</v>
      </c>
      <c r="M342">
        <v>140</v>
      </c>
      <c r="N342" t="s">
        <v>1211</v>
      </c>
      <c r="O342" t="s">
        <v>478</v>
      </c>
    </row>
    <row r="343" spans="1:15" x14ac:dyDescent="0.25">
      <c r="A343">
        <v>141</v>
      </c>
      <c r="B343" t="s">
        <v>685</v>
      </c>
      <c r="C343" t="s">
        <v>479</v>
      </c>
      <c r="E343">
        <v>141</v>
      </c>
      <c r="F343" t="s">
        <v>862</v>
      </c>
      <c r="G343" t="s">
        <v>479</v>
      </c>
      <c r="I343">
        <v>141</v>
      </c>
      <c r="J343" t="s">
        <v>1036</v>
      </c>
      <c r="K343" t="s">
        <v>479</v>
      </c>
      <c r="M343">
        <v>141</v>
      </c>
      <c r="N343" t="s">
        <v>1212</v>
      </c>
      <c r="O343" t="s">
        <v>479</v>
      </c>
    </row>
    <row r="344" spans="1:15" x14ac:dyDescent="0.25">
      <c r="A344">
        <v>142</v>
      </c>
      <c r="B344" t="s">
        <v>686</v>
      </c>
      <c r="C344" t="s">
        <v>480</v>
      </c>
      <c r="E344">
        <v>142</v>
      </c>
      <c r="F344" t="s">
        <v>863</v>
      </c>
      <c r="G344" t="s">
        <v>480</v>
      </c>
      <c r="I344">
        <v>142</v>
      </c>
      <c r="J344" t="s">
        <v>1037</v>
      </c>
      <c r="K344" t="s">
        <v>480</v>
      </c>
      <c r="M344">
        <v>142</v>
      </c>
      <c r="N344">
        <v>297609</v>
      </c>
      <c r="O344" t="s">
        <v>480</v>
      </c>
    </row>
    <row r="345" spans="1:15" x14ac:dyDescent="0.25">
      <c r="A345">
        <v>143</v>
      </c>
      <c r="B345" t="s">
        <v>687</v>
      </c>
      <c r="C345" t="s">
        <v>481</v>
      </c>
      <c r="E345">
        <v>143</v>
      </c>
      <c r="F345" t="s">
        <v>864</v>
      </c>
      <c r="G345" t="s">
        <v>481</v>
      </c>
      <c r="I345">
        <v>143</v>
      </c>
      <c r="J345" t="s">
        <v>1038</v>
      </c>
      <c r="K345" t="s">
        <v>481</v>
      </c>
      <c r="M345">
        <v>143</v>
      </c>
      <c r="N345" t="s">
        <v>1213</v>
      </c>
      <c r="O345" t="s">
        <v>481</v>
      </c>
    </row>
    <row r="346" spans="1:15" x14ac:dyDescent="0.25">
      <c r="A346">
        <v>144</v>
      </c>
      <c r="B346" t="s">
        <v>688</v>
      </c>
      <c r="C346" t="s">
        <v>482</v>
      </c>
      <c r="E346">
        <v>144</v>
      </c>
      <c r="F346" t="s">
        <v>865</v>
      </c>
      <c r="G346" t="s">
        <v>482</v>
      </c>
      <c r="I346">
        <v>144</v>
      </c>
      <c r="J346">
        <v>297427</v>
      </c>
      <c r="K346" t="s">
        <v>482</v>
      </c>
      <c r="M346">
        <v>144</v>
      </c>
      <c r="N346" t="s">
        <v>1214</v>
      </c>
      <c r="O346" t="s">
        <v>482</v>
      </c>
    </row>
    <row r="347" spans="1:15" x14ac:dyDescent="0.25">
      <c r="A347">
        <v>145</v>
      </c>
      <c r="B347" t="s">
        <v>689</v>
      </c>
      <c r="C347" t="s">
        <v>483</v>
      </c>
      <c r="E347">
        <v>145</v>
      </c>
      <c r="F347" t="s">
        <v>866</v>
      </c>
      <c r="G347" t="s">
        <v>483</v>
      </c>
      <c r="I347">
        <v>145</v>
      </c>
      <c r="J347" t="s">
        <v>1039</v>
      </c>
      <c r="K347" t="s">
        <v>483</v>
      </c>
      <c r="M347">
        <v>145</v>
      </c>
      <c r="N347" t="s">
        <v>1215</v>
      </c>
      <c r="O347" t="s">
        <v>483</v>
      </c>
    </row>
    <row r="348" spans="1:15" x14ac:dyDescent="0.25">
      <c r="A348">
        <v>146</v>
      </c>
      <c r="B348" t="s">
        <v>690</v>
      </c>
      <c r="C348" t="s">
        <v>484</v>
      </c>
      <c r="E348">
        <v>146</v>
      </c>
      <c r="F348">
        <v>298589</v>
      </c>
      <c r="G348" t="s">
        <v>484</v>
      </c>
      <c r="I348">
        <v>146</v>
      </c>
      <c r="J348" t="s">
        <v>1040</v>
      </c>
      <c r="K348" t="s">
        <v>484</v>
      </c>
      <c r="M348">
        <v>146</v>
      </c>
      <c r="N348">
        <v>298977</v>
      </c>
      <c r="O348" t="s">
        <v>484</v>
      </c>
    </row>
    <row r="349" spans="1:15" x14ac:dyDescent="0.25">
      <c r="A349">
        <v>147</v>
      </c>
      <c r="B349" t="s">
        <v>691</v>
      </c>
      <c r="C349" t="s">
        <v>485</v>
      </c>
      <c r="E349">
        <v>147</v>
      </c>
      <c r="F349">
        <v>299984</v>
      </c>
      <c r="G349" t="s">
        <v>485</v>
      </c>
      <c r="I349">
        <v>147</v>
      </c>
      <c r="J349" t="s">
        <v>1041</v>
      </c>
      <c r="K349" t="s">
        <v>485</v>
      </c>
      <c r="M349">
        <v>147</v>
      </c>
      <c r="N349" t="s">
        <v>1216</v>
      </c>
      <c r="O349" t="s">
        <v>485</v>
      </c>
    </row>
    <row r="350" spans="1:15" x14ac:dyDescent="0.25">
      <c r="A350">
        <v>148</v>
      </c>
      <c r="B350" t="s">
        <v>692</v>
      </c>
      <c r="C350" t="s">
        <v>486</v>
      </c>
      <c r="E350">
        <v>148</v>
      </c>
      <c r="F350" t="s">
        <v>867</v>
      </c>
      <c r="G350" t="s">
        <v>486</v>
      </c>
      <c r="I350">
        <v>148</v>
      </c>
      <c r="J350" t="s">
        <v>1042</v>
      </c>
      <c r="K350" t="s">
        <v>486</v>
      </c>
      <c r="M350">
        <v>148</v>
      </c>
      <c r="N350" t="s">
        <v>1217</v>
      </c>
      <c r="O350" t="s">
        <v>486</v>
      </c>
    </row>
    <row r="351" spans="1:15" x14ac:dyDescent="0.25">
      <c r="A351">
        <v>149</v>
      </c>
      <c r="B351" t="s">
        <v>693</v>
      </c>
      <c r="C351" t="s">
        <v>487</v>
      </c>
      <c r="E351">
        <v>149</v>
      </c>
      <c r="F351">
        <v>302560</v>
      </c>
      <c r="G351" t="s">
        <v>487</v>
      </c>
      <c r="I351">
        <v>149</v>
      </c>
      <c r="J351" t="s">
        <v>1043</v>
      </c>
      <c r="K351" t="s">
        <v>487</v>
      </c>
      <c r="M351">
        <v>149</v>
      </c>
      <c r="N351">
        <v>303092</v>
      </c>
      <c r="O351" t="s">
        <v>487</v>
      </c>
    </row>
    <row r="352" spans="1:15" x14ac:dyDescent="0.25">
      <c r="A352">
        <v>150</v>
      </c>
      <c r="B352" t="s">
        <v>694</v>
      </c>
      <c r="C352" t="s">
        <v>488</v>
      </c>
      <c r="E352">
        <v>150</v>
      </c>
      <c r="F352" t="s">
        <v>868</v>
      </c>
      <c r="G352" t="s">
        <v>488</v>
      </c>
      <c r="I352">
        <v>150</v>
      </c>
      <c r="J352" t="s">
        <v>1044</v>
      </c>
      <c r="K352" t="s">
        <v>488</v>
      </c>
      <c r="M352">
        <v>150</v>
      </c>
      <c r="N352" t="s">
        <v>1218</v>
      </c>
      <c r="O352" t="s">
        <v>488</v>
      </c>
    </row>
    <row r="353" spans="1:15" x14ac:dyDescent="0.25">
      <c r="A353">
        <v>151</v>
      </c>
      <c r="B353" t="s">
        <v>695</v>
      </c>
      <c r="C353" t="s">
        <v>489</v>
      </c>
      <c r="E353">
        <v>151</v>
      </c>
      <c r="F353">
        <v>305365</v>
      </c>
      <c r="G353" t="s">
        <v>489</v>
      </c>
      <c r="I353">
        <v>151</v>
      </c>
      <c r="J353" t="s">
        <v>1045</v>
      </c>
      <c r="K353" t="s">
        <v>489</v>
      </c>
      <c r="M353">
        <v>151</v>
      </c>
      <c r="N353" t="s">
        <v>1219</v>
      </c>
      <c r="O353" t="s">
        <v>489</v>
      </c>
    </row>
    <row r="354" spans="1:15" x14ac:dyDescent="0.25">
      <c r="A354">
        <v>152</v>
      </c>
      <c r="B354" t="s">
        <v>696</v>
      </c>
      <c r="C354" t="s">
        <v>490</v>
      </c>
      <c r="E354">
        <v>152</v>
      </c>
      <c r="F354">
        <v>306489</v>
      </c>
      <c r="G354" t="s">
        <v>490</v>
      </c>
      <c r="I354">
        <v>152</v>
      </c>
      <c r="J354" t="s">
        <v>1046</v>
      </c>
      <c r="K354" t="s">
        <v>490</v>
      </c>
      <c r="M354">
        <v>152</v>
      </c>
      <c r="N354" t="s">
        <v>1220</v>
      </c>
      <c r="O354" t="s">
        <v>490</v>
      </c>
    </row>
    <row r="355" spans="1:15" x14ac:dyDescent="0.25">
      <c r="A355">
        <v>153</v>
      </c>
      <c r="B355">
        <v>309871</v>
      </c>
      <c r="C355" t="s">
        <v>491</v>
      </c>
      <c r="E355">
        <v>153</v>
      </c>
      <c r="F355" t="s">
        <v>869</v>
      </c>
      <c r="G355" t="s">
        <v>491</v>
      </c>
      <c r="I355">
        <v>153</v>
      </c>
      <c r="J355" t="s">
        <v>1047</v>
      </c>
      <c r="K355" t="s">
        <v>491</v>
      </c>
      <c r="M355">
        <v>153</v>
      </c>
      <c r="N355">
        <v>307732</v>
      </c>
      <c r="O355" t="s">
        <v>491</v>
      </c>
    </row>
    <row r="356" spans="1:15" x14ac:dyDescent="0.25">
      <c r="A356">
        <v>154</v>
      </c>
      <c r="B356" t="s">
        <v>697</v>
      </c>
      <c r="C356" t="s">
        <v>492</v>
      </c>
      <c r="E356">
        <v>154</v>
      </c>
      <c r="F356" t="s">
        <v>870</v>
      </c>
      <c r="G356" t="s">
        <v>492</v>
      </c>
      <c r="I356">
        <v>154</v>
      </c>
      <c r="J356" t="s">
        <v>1048</v>
      </c>
      <c r="K356" t="s">
        <v>492</v>
      </c>
      <c r="M356">
        <v>154</v>
      </c>
      <c r="N356" t="s">
        <v>1221</v>
      </c>
      <c r="O356" t="s">
        <v>492</v>
      </c>
    </row>
    <row r="357" spans="1:15" x14ac:dyDescent="0.25">
      <c r="A357">
        <v>155</v>
      </c>
      <c r="B357" t="s">
        <v>698</v>
      </c>
      <c r="C357" t="s">
        <v>493</v>
      </c>
      <c r="E357">
        <v>155</v>
      </c>
      <c r="F357" t="s">
        <v>871</v>
      </c>
      <c r="G357" t="s">
        <v>493</v>
      </c>
      <c r="I357">
        <v>155</v>
      </c>
      <c r="J357" t="s">
        <v>1049</v>
      </c>
      <c r="K357" t="s">
        <v>493</v>
      </c>
      <c r="M357">
        <v>155</v>
      </c>
      <c r="N357" t="s">
        <v>1222</v>
      </c>
      <c r="O357" t="s">
        <v>493</v>
      </c>
    </row>
    <row r="358" spans="1:15" x14ac:dyDescent="0.25">
      <c r="A358">
        <v>156</v>
      </c>
      <c r="B358" t="s">
        <v>699</v>
      </c>
      <c r="C358" t="s">
        <v>494</v>
      </c>
      <c r="E358">
        <v>156</v>
      </c>
      <c r="F358" t="s">
        <v>872</v>
      </c>
      <c r="G358" t="s">
        <v>494</v>
      </c>
      <c r="I358">
        <v>156</v>
      </c>
      <c r="J358" t="s">
        <v>1050</v>
      </c>
      <c r="K358" t="s">
        <v>494</v>
      </c>
      <c r="M358">
        <v>156</v>
      </c>
      <c r="N358" t="s">
        <v>1223</v>
      </c>
      <c r="O358" t="s">
        <v>494</v>
      </c>
    </row>
    <row r="359" spans="1:15" x14ac:dyDescent="0.25">
      <c r="A359">
        <v>157</v>
      </c>
      <c r="B359" t="s">
        <v>700</v>
      </c>
      <c r="C359" t="s">
        <v>495</v>
      </c>
      <c r="E359">
        <v>157</v>
      </c>
      <c r="F359" t="s">
        <v>873</v>
      </c>
      <c r="G359" t="s">
        <v>495</v>
      </c>
      <c r="I359">
        <v>157</v>
      </c>
      <c r="J359" t="s">
        <v>1051</v>
      </c>
      <c r="K359" t="s">
        <v>495</v>
      </c>
      <c r="M359">
        <v>157</v>
      </c>
      <c r="N359" t="s">
        <v>1224</v>
      </c>
      <c r="O359" t="s">
        <v>495</v>
      </c>
    </row>
    <row r="360" spans="1:15" x14ac:dyDescent="0.25">
      <c r="A360">
        <v>158</v>
      </c>
      <c r="B360" t="s">
        <v>701</v>
      </c>
      <c r="C360" t="s">
        <v>496</v>
      </c>
      <c r="E360">
        <v>158</v>
      </c>
      <c r="F360" t="s">
        <v>874</v>
      </c>
      <c r="G360" t="s">
        <v>496</v>
      </c>
      <c r="I360">
        <v>158</v>
      </c>
      <c r="J360" t="s">
        <v>1052</v>
      </c>
      <c r="K360" t="s">
        <v>496</v>
      </c>
      <c r="M360">
        <v>158</v>
      </c>
      <c r="N360" t="s">
        <v>1225</v>
      </c>
      <c r="O360" t="s">
        <v>496</v>
      </c>
    </row>
    <row r="361" spans="1:15" x14ac:dyDescent="0.25">
      <c r="A361">
        <v>159</v>
      </c>
      <c r="B361" t="s">
        <v>702</v>
      </c>
      <c r="C361" t="s">
        <v>497</v>
      </c>
      <c r="E361">
        <v>159</v>
      </c>
      <c r="F361" t="s">
        <v>875</v>
      </c>
      <c r="G361" t="s">
        <v>497</v>
      </c>
      <c r="I361">
        <v>159</v>
      </c>
      <c r="J361" t="s">
        <v>1053</v>
      </c>
      <c r="K361" t="s">
        <v>497</v>
      </c>
      <c r="M361">
        <v>159</v>
      </c>
      <c r="N361">
        <v>314243</v>
      </c>
      <c r="O361" t="s">
        <v>497</v>
      </c>
    </row>
    <row r="362" spans="1:15" x14ac:dyDescent="0.25">
      <c r="A362">
        <v>160</v>
      </c>
      <c r="B362">
        <v>315400</v>
      </c>
      <c r="C362" t="s">
        <v>498</v>
      </c>
      <c r="E362">
        <v>160</v>
      </c>
      <c r="F362" t="s">
        <v>876</v>
      </c>
      <c r="G362" t="s">
        <v>498</v>
      </c>
      <c r="I362">
        <v>160</v>
      </c>
      <c r="J362" t="s">
        <v>1054</v>
      </c>
      <c r="K362" t="s">
        <v>498</v>
      </c>
      <c r="M362">
        <v>160</v>
      </c>
      <c r="N362" t="s">
        <v>1226</v>
      </c>
      <c r="O362" t="s">
        <v>498</v>
      </c>
    </row>
    <row r="363" spans="1:15" x14ac:dyDescent="0.25">
      <c r="A363">
        <v>161</v>
      </c>
      <c r="B363" t="s">
        <v>703</v>
      </c>
      <c r="C363" t="s">
        <v>499</v>
      </c>
      <c r="E363">
        <v>161</v>
      </c>
      <c r="F363">
        <v>314556</v>
      </c>
      <c r="G363" t="s">
        <v>499</v>
      </c>
      <c r="I363">
        <v>161</v>
      </c>
      <c r="J363" t="s">
        <v>1055</v>
      </c>
      <c r="K363" t="s">
        <v>499</v>
      </c>
      <c r="M363">
        <v>161</v>
      </c>
      <c r="N363" t="s">
        <v>1227</v>
      </c>
      <c r="O363" t="s">
        <v>499</v>
      </c>
    </row>
    <row r="364" spans="1:15" x14ac:dyDescent="0.25">
      <c r="A364">
        <v>162</v>
      </c>
      <c r="B364" t="s">
        <v>704</v>
      </c>
      <c r="C364" t="s">
        <v>500</v>
      </c>
      <c r="E364">
        <v>162</v>
      </c>
      <c r="F364" t="s">
        <v>877</v>
      </c>
      <c r="G364" t="s">
        <v>500</v>
      </c>
      <c r="I364">
        <v>162</v>
      </c>
      <c r="J364" t="s">
        <v>1056</v>
      </c>
      <c r="K364" t="s">
        <v>500</v>
      </c>
      <c r="M364">
        <v>162</v>
      </c>
      <c r="N364" t="s">
        <v>1228</v>
      </c>
      <c r="O364" t="s">
        <v>500</v>
      </c>
    </row>
    <row r="365" spans="1:15" x14ac:dyDescent="0.25">
      <c r="A365">
        <v>163</v>
      </c>
      <c r="B365">
        <v>313034</v>
      </c>
      <c r="C365" t="s">
        <v>501</v>
      </c>
      <c r="E365">
        <v>163</v>
      </c>
      <c r="F365" t="s">
        <v>878</v>
      </c>
      <c r="G365" t="s">
        <v>501</v>
      </c>
      <c r="I365">
        <v>163</v>
      </c>
      <c r="J365" t="s">
        <v>1057</v>
      </c>
      <c r="K365" t="s">
        <v>501</v>
      </c>
      <c r="M365">
        <v>163</v>
      </c>
      <c r="N365" t="s">
        <v>1229</v>
      </c>
      <c r="O365" t="s">
        <v>501</v>
      </c>
    </row>
    <row r="366" spans="1:15" x14ac:dyDescent="0.25">
      <c r="A366">
        <v>164</v>
      </c>
      <c r="B366" t="s">
        <v>705</v>
      </c>
      <c r="C366" t="s">
        <v>502</v>
      </c>
      <c r="E366">
        <v>164</v>
      </c>
      <c r="F366" t="s">
        <v>879</v>
      </c>
      <c r="G366" t="s">
        <v>502</v>
      </c>
      <c r="I366">
        <v>164</v>
      </c>
      <c r="J366" t="s">
        <v>1058</v>
      </c>
      <c r="K366" t="s">
        <v>502</v>
      </c>
      <c r="M366">
        <v>164</v>
      </c>
      <c r="N366" t="s">
        <v>1230</v>
      </c>
      <c r="O366" t="s">
        <v>502</v>
      </c>
    </row>
    <row r="367" spans="1:15" x14ac:dyDescent="0.25">
      <c r="A367">
        <v>165</v>
      </c>
      <c r="B367" t="s">
        <v>706</v>
      </c>
      <c r="C367" t="s">
        <v>503</v>
      </c>
      <c r="E367">
        <v>165</v>
      </c>
      <c r="F367" t="s">
        <v>880</v>
      </c>
      <c r="G367" t="s">
        <v>503</v>
      </c>
      <c r="I367">
        <v>165</v>
      </c>
      <c r="J367" t="s">
        <v>1059</v>
      </c>
      <c r="K367" t="s">
        <v>503</v>
      </c>
      <c r="M367">
        <v>165</v>
      </c>
      <c r="N367" t="s">
        <v>1231</v>
      </c>
      <c r="O367" t="s">
        <v>503</v>
      </c>
    </row>
    <row r="368" spans="1:15" x14ac:dyDescent="0.25">
      <c r="A368">
        <v>166</v>
      </c>
      <c r="B368" t="s">
        <v>707</v>
      </c>
      <c r="C368" t="s">
        <v>504</v>
      </c>
      <c r="E368">
        <v>166</v>
      </c>
      <c r="F368" t="s">
        <v>881</v>
      </c>
      <c r="G368" t="s">
        <v>504</v>
      </c>
      <c r="I368">
        <v>166</v>
      </c>
      <c r="J368" t="s">
        <v>1060</v>
      </c>
      <c r="K368" t="s">
        <v>504</v>
      </c>
      <c r="M368">
        <v>166</v>
      </c>
      <c r="N368" t="s">
        <v>1232</v>
      </c>
      <c r="O368" t="s">
        <v>504</v>
      </c>
    </row>
    <row r="369" spans="1:15" x14ac:dyDescent="0.25">
      <c r="A369">
        <v>167</v>
      </c>
      <c r="B369" t="s">
        <v>708</v>
      </c>
      <c r="C369" t="s">
        <v>505</v>
      </c>
      <c r="E369">
        <v>167</v>
      </c>
      <c r="F369">
        <v>304511</v>
      </c>
      <c r="G369" t="s">
        <v>505</v>
      </c>
      <c r="I369">
        <v>167</v>
      </c>
      <c r="J369" t="s">
        <v>1061</v>
      </c>
      <c r="K369" t="s">
        <v>505</v>
      </c>
      <c r="M369">
        <v>167</v>
      </c>
      <c r="N369" t="s">
        <v>1233</v>
      </c>
      <c r="O369" t="s">
        <v>505</v>
      </c>
    </row>
    <row r="370" spans="1:15" x14ac:dyDescent="0.25">
      <c r="A370">
        <v>168</v>
      </c>
      <c r="B370" t="s">
        <v>709</v>
      </c>
      <c r="C370" t="s">
        <v>506</v>
      </c>
      <c r="E370">
        <v>168</v>
      </c>
      <c r="F370" t="s">
        <v>882</v>
      </c>
      <c r="G370" t="s">
        <v>506</v>
      </c>
      <c r="I370">
        <v>168</v>
      </c>
      <c r="J370" t="s">
        <v>1062</v>
      </c>
      <c r="K370" t="s">
        <v>506</v>
      </c>
      <c r="M370">
        <v>168</v>
      </c>
      <c r="N370" t="s">
        <v>1234</v>
      </c>
      <c r="O370" t="s">
        <v>506</v>
      </c>
    </row>
    <row r="371" spans="1:15" x14ac:dyDescent="0.25">
      <c r="A371">
        <v>169</v>
      </c>
      <c r="B371" t="s">
        <v>710</v>
      </c>
      <c r="C371" t="s">
        <v>507</v>
      </c>
      <c r="E371">
        <v>169</v>
      </c>
      <c r="F371" t="s">
        <v>883</v>
      </c>
      <c r="G371" t="s">
        <v>507</v>
      </c>
      <c r="I371">
        <v>169</v>
      </c>
      <c r="J371" t="s">
        <v>1063</v>
      </c>
      <c r="K371" t="s">
        <v>507</v>
      </c>
      <c r="M371">
        <v>169</v>
      </c>
      <c r="N371" t="s">
        <v>1235</v>
      </c>
      <c r="O371" t="s">
        <v>507</v>
      </c>
    </row>
    <row r="372" spans="1:15" x14ac:dyDescent="0.25">
      <c r="A372">
        <v>170</v>
      </c>
      <c r="B372" t="s">
        <v>711</v>
      </c>
      <c r="C372" t="s">
        <v>508</v>
      </c>
      <c r="E372">
        <v>170</v>
      </c>
      <c r="F372" t="s">
        <v>884</v>
      </c>
      <c r="G372" t="s">
        <v>508</v>
      </c>
      <c r="I372">
        <v>170</v>
      </c>
      <c r="J372" t="s">
        <v>1064</v>
      </c>
      <c r="K372" t="s">
        <v>508</v>
      </c>
      <c r="M372">
        <v>170</v>
      </c>
      <c r="N372" t="s">
        <v>1236</v>
      </c>
      <c r="O372" t="s">
        <v>508</v>
      </c>
    </row>
    <row r="373" spans="1:15" x14ac:dyDescent="0.25">
      <c r="A373">
        <v>171</v>
      </c>
      <c r="B373" t="s">
        <v>712</v>
      </c>
      <c r="C373" t="s">
        <v>509</v>
      </c>
      <c r="E373">
        <v>171</v>
      </c>
      <c r="F373" t="s">
        <v>885</v>
      </c>
      <c r="G373" t="s">
        <v>509</v>
      </c>
      <c r="I373">
        <v>171</v>
      </c>
      <c r="J373" t="s">
        <v>1065</v>
      </c>
      <c r="K373" t="s">
        <v>509</v>
      </c>
      <c r="M373">
        <v>171</v>
      </c>
      <c r="N373">
        <v>298160</v>
      </c>
      <c r="O373" t="s">
        <v>509</v>
      </c>
    </row>
    <row r="374" spans="1:15" x14ac:dyDescent="0.25">
      <c r="A374">
        <v>172</v>
      </c>
      <c r="B374" t="s">
        <v>713</v>
      </c>
      <c r="C374" t="s">
        <v>510</v>
      </c>
      <c r="E374">
        <v>172</v>
      </c>
      <c r="F374" t="s">
        <v>886</v>
      </c>
      <c r="G374" t="s">
        <v>510</v>
      </c>
      <c r="I374">
        <v>172</v>
      </c>
      <c r="J374" t="s">
        <v>1066</v>
      </c>
      <c r="K374" t="s">
        <v>510</v>
      </c>
      <c r="M374">
        <v>172</v>
      </c>
      <c r="N374" t="s">
        <v>1237</v>
      </c>
      <c r="O374" t="s">
        <v>510</v>
      </c>
    </row>
    <row r="375" spans="1:15" x14ac:dyDescent="0.25">
      <c r="A375">
        <v>173</v>
      </c>
      <c r="B375" t="s">
        <v>714</v>
      </c>
      <c r="C375" t="s">
        <v>511</v>
      </c>
      <c r="E375">
        <v>173</v>
      </c>
      <c r="F375" t="s">
        <v>887</v>
      </c>
      <c r="G375" t="s">
        <v>511</v>
      </c>
      <c r="I375">
        <v>173</v>
      </c>
      <c r="J375" t="s">
        <v>1067</v>
      </c>
      <c r="K375" t="s">
        <v>511</v>
      </c>
      <c r="M375">
        <v>173</v>
      </c>
      <c r="N375" t="s">
        <v>1238</v>
      </c>
      <c r="O375" t="s">
        <v>511</v>
      </c>
    </row>
    <row r="376" spans="1:15" x14ac:dyDescent="0.25">
      <c r="A376">
        <v>174</v>
      </c>
      <c r="B376">
        <v>298724</v>
      </c>
      <c r="C376" t="s">
        <v>512</v>
      </c>
      <c r="E376">
        <v>174</v>
      </c>
      <c r="F376" t="s">
        <v>888</v>
      </c>
      <c r="G376" t="s">
        <v>512</v>
      </c>
      <c r="I376">
        <v>174</v>
      </c>
      <c r="J376" t="s">
        <v>1068</v>
      </c>
      <c r="K376" t="s">
        <v>512</v>
      </c>
      <c r="M376">
        <v>174</v>
      </c>
      <c r="N376" t="s">
        <v>1239</v>
      </c>
      <c r="O376" t="s">
        <v>512</v>
      </c>
    </row>
    <row r="377" spans="1:15" x14ac:dyDescent="0.25">
      <c r="A377">
        <v>175</v>
      </c>
      <c r="B377" t="s">
        <v>715</v>
      </c>
      <c r="C377" t="s">
        <v>513</v>
      </c>
      <c r="E377">
        <v>175</v>
      </c>
      <c r="F377" t="s">
        <v>889</v>
      </c>
      <c r="G377" t="s">
        <v>513</v>
      </c>
      <c r="I377">
        <v>175</v>
      </c>
      <c r="J377" t="s">
        <v>1069</v>
      </c>
      <c r="K377" t="s">
        <v>513</v>
      </c>
      <c r="M377">
        <v>175</v>
      </c>
      <c r="N377" t="s">
        <v>1240</v>
      </c>
      <c r="O377" t="s">
        <v>513</v>
      </c>
    </row>
    <row r="378" spans="1:15" x14ac:dyDescent="0.25">
      <c r="A378">
        <v>176</v>
      </c>
      <c r="B378" t="s">
        <v>716</v>
      </c>
      <c r="C378" t="s">
        <v>514</v>
      </c>
      <c r="E378">
        <v>176</v>
      </c>
      <c r="F378">
        <v>298884</v>
      </c>
      <c r="G378" t="s">
        <v>514</v>
      </c>
      <c r="I378">
        <v>176</v>
      </c>
      <c r="J378" t="s">
        <v>1070</v>
      </c>
      <c r="K378" t="s">
        <v>514</v>
      </c>
      <c r="M378">
        <v>176</v>
      </c>
      <c r="N378" t="s">
        <v>1241</v>
      </c>
      <c r="O378" t="s">
        <v>514</v>
      </c>
    </row>
    <row r="379" spans="1:15" x14ac:dyDescent="0.25">
      <c r="A379">
        <v>177</v>
      </c>
      <c r="B379" t="s">
        <v>717</v>
      </c>
      <c r="C379" t="s">
        <v>515</v>
      </c>
      <c r="E379">
        <v>177</v>
      </c>
      <c r="F379" t="s">
        <v>890</v>
      </c>
      <c r="G379" t="s">
        <v>515</v>
      </c>
      <c r="I379">
        <v>177</v>
      </c>
      <c r="J379" t="s">
        <v>1071</v>
      </c>
      <c r="K379" t="s">
        <v>515</v>
      </c>
      <c r="M379">
        <v>177</v>
      </c>
      <c r="N379" t="s">
        <v>1242</v>
      </c>
      <c r="O379" t="s">
        <v>515</v>
      </c>
    </row>
    <row r="380" spans="1:15" x14ac:dyDescent="0.25">
      <c r="A380">
        <v>178</v>
      </c>
      <c r="B380" t="s">
        <v>718</v>
      </c>
      <c r="C380" t="s">
        <v>516</v>
      </c>
      <c r="E380">
        <v>178</v>
      </c>
      <c r="F380" t="s">
        <v>891</v>
      </c>
      <c r="G380" t="s">
        <v>516</v>
      </c>
      <c r="I380">
        <v>178</v>
      </c>
      <c r="J380" t="s">
        <v>1072</v>
      </c>
      <c r="K380" t="s">
        <v>516</v>
      </c>
      <c r="M380">
        <v>178</v>
      </c>
      <c r="N380" t="s">
        <v>1243</v>
      </c>
      <c r="O380" t="s">
        <v>516</v>
      </c>
    </row>
    <row r="381" spans="1:15" x14ac:dyDescent="0.25">
      <c r="A381">
        <v>179</v>
      </c>
      <c r="B381" t="s">
        <v>719</v>
      </c>
      <c r="C381" t="s">
        <v>517</v>
      </c>
      <c r="E381">
        <v>179</v>
      </c>
      <c r="F381" t="s">
        <v>892</v>
      </c>
      <c r="G381" t="s">
        <v>517</v>
      </c>
      <c r="I381">
        <v>179</v>
      </c>
      <c r="J381" t="s">
        <v>1073</v>
      </c>
      <c r="K381" t="s">
        <v>517</v>
      </c>
      <c r="M381">
        <v>179</v>
      </c>
      <c r="N381" t="s">
        <v>1244</v>
      </c>
      <c r="O381" t="s">
        <v>517</v>
      </c>
    </row>
    <row r="382" spans="1:15" x14ac:dyDescent="0.25">
      <c r="A382">
        <v>180</v>
      </c>
      <c r="B382" t="s">
        <v>720</v>
      </c>
      <c r="C382" t="s">
        <v>518</v>
      </c>
      <c r="E382">
        <v>180</v>
      </c>
      <c r="F382" t="s">
        <v>893</v>
      </c>
      <c r="G382" t="s">
        <v>518</v>
      </c>
      <c r="I382">
        <v>180</v>
      </c>
      <c r="J382" t="s">
        <v>1074</v>
      </c>
      <c r="K382" t="s">
        <v>518</v>
      </c>
      <c r="M382">
        <v>180</v>
      </c>
      <c r="N382">
        <v>298191</v>
      </c>
      <c r="O382" t="s">
        <v>518</v>
      </c>
    </row>
    <row r="383" spans="1:15" x14ac:dyDescent="0.25">
      <c r="A383">
        <v>181</v>
      </c>
      <c r="B383" t="s">
        <v>721</v>
      </c>
      <c r="C383" t="s">
        <v>519</v>
      </c>
      <c r="E383">
        <v>181</v>
      </c>
      <c r="F383">
        <v>299003</v>
      </c>
      <c r="G383" t="s">
        <v>519</v>
      </c>
      <c r="I383">
        <v>181</v>
      </c>
      <c r="J383" t="s">
        <v>1075</v>
      </c>
      <c r="K383" t="s">
        <v>519</v>
      </c>
      <c r="M383">
        <v>181</v>
      </c>
      <c r="N383" t="s">
        <v>1245</v>
      </c>
      <c r="O383" t="s">
        <v>519</v>
      </c>
    </row>
    <row r="384" spans="1:15" x14ac:dyDescent="0.25">
      <c r="A384">
        <v>182</v>
      </c>
      <c r="B384" t="s">
        <v>722</v>
      </c>
      <c r="C384" t="s">
        <v>520</v>
      </c>
      <c r="E384">
        <v>182</v>
      </c>
      <c r="F384" t="s">
        <v>894</v>
      </c>
      <c r="G384" t="s">
        <v>520</v>
      </c>
      <c r="I384">
        <v>182</v>
      </c>
      <c r="J384" t="s">
        <v>1076</v>
      </c>
      <c r="K384" t="s">
        <v>520</v>
      </c>
      <c r="M384">
        <v>182</v>
      </c>
      <c r="N384" t="s">
        <v>1246</v>
      </c>
      <c r="O384" t="s">
        <v>520</v>
      </c>
    </row>
    <row r="385" spans="1:15" x14ac:dyDescent="0.25">
      <c r="A385">
        <v>183</v>
      </c>
      <c r="B385" t="s">
        <v>723</v>
      </c>
      <c r="C385" t="s">
        <v>521</v>
      </c>
      <c r="E385">
        <v>183</v>
      </c>
      <c r="F385" t="s">
        <v>895</v>
      </c>
      <c r="G385" t="s">
        <v>521</v>
      </c>
      <c r="I385">
        <v>183</v>
      </c>
      <c r="J385" t="s">
        <v>1077</v>
      </c>
      <c r="K385" t="s">
        <v>521</v>
      </c>
      <c r="M385">
        <v>183</v>
      </c>
      <c r="N385" t="s">
        <v>1247</v>
      </c>
      <c r="O385" t="s">
        <v>521</v>
      </c>
    </row>
    <row r="386" spans="1:15" x14ac:dyDescent="0.25">
      <c r="A386">
        <v>184</v>
      </c>
      <c r="B386" t="s">
        <v>724</v>
      </c>
      <c r="C386" t="s">
        <v>522</v>
      </c>
      <c r="E386">
        <v>184</v>
      </c>
      <c r="F386" t="s">
        <v>896</v>
      </c>
      <c r="G386" t="s">
        <v>522</v>
      </c>
      <c r="I386">
        <v>184</v>
      </c>
      <c r="J386" t="s">
        <v>1078</v>
      </c>
      <c r="K386" t="s">
        <v>522</v>
      </c>
      <c r="M386">
        <v>184</v>
      </c>
      <c r="N386" t="s">
        <v>1248</v>
      </c>
      <c r="O386" t="s">
        <v>522</v>
      </c>
    </row>
    <row r="387" spans="1:15" x14ac:dyDescent="0.25">
      <c r="A387">
        <v>185</v>
      </c>
      <c r="B387" t="s">
        <v>725</v>
      </c>
      <c r="C387" t="s">
        <v>523</v>
      </c>
      <c r="E387">
        <v>185</v>
      </c>
      <c r="F387" t="s">
        <v>897</v>
      </c>
      <c r="G387" t="s">
        <v>523</v>
      </c>
      <c r="I387">
        <v>185</v>
      </c>
      <c r="J387" t="s">
        <v>1079</v>
      </c>
      <c r="K387" t="s">
        <v>523</v>
      </c>
      <c r="M387">
        <v>185</v>
      </c>
      <c r="N387" t="s">
        <v>1249</v>
      </c>
      <c r="O387" t="s">
        <v>523</v>
      </c>
    </row>
    <row r="388" spans="1:15" x14ac:dyDescent="0.25">
      <c r="A388">
        <v>186</v>
      </c>
      <c r="B388" t="s">
        <v>726</v>
      </c>
      <c r="C388" t="s">
        <v>524</v>
      </c>
      <c r="E388">
        <v>186</v>
      </c>
      <c r="F388" t="s">
        <v>898</v>
      </c>
      <c r="G388" t="s">
        <v>524</v>
      </c>
      <c r="I388">
        <v>186</v>
      </c>
      <c r="J388" t="s">
        <v>1080</v>
      </c>
      <c r="K388" t="s">
        <v>524</v>
      </c>
      <c r="M388">
        <v>186</v>
      </c>
      <c r="N388" t="s">
        <v>1250</v>
      </c>
      <c r="O388" t="s">
        <v>524</v>
      </c>
    </row>
    <row r="389" spans="1:15" x14ac:dyDescent="0.25">
      <c r="A389">
        <v>187</v>
      </c>
      <c r="B389">
        <v>298559</v>
      </c>
      <c r="C389" t="s">
        <v>525</v>
      </c>
      <c r="E389">
        <v>187</v>
      </c>
      <c r="F389" t="s">
        <v>899</v>
      </c>
      <c r="G389" t="s">
        <v>525</v>
      </c>
      <c r="I389">
        <v>187</v>
      </c>
      <c r="J389" t="s">
        <v>1081</v>
      </c>
      <c r="K389" t="s">
        <v>525</v>
      </c>
      <c r="M389">
        <v>187</v>
      </c>
      <c r="N389" t="s">
        <v>1251</v>
      </c>
      <c r="O389" t="s">
        <v>525</v>
      </c>
    </row>
    <row r="390" spans="1:15" x14ac:dyDescent="0.25">
      <c r="A390">
        <v>188</v>
      </c>
      <c r="B390">
        <v>298532</v>
      </c>
      <c r="C390" t="s">
        <v>526</v>
      </c>
      <c r="E390">
        <v>188</v>
      </c>
      <c r="F390" t="s">
        <v>900</v>
      </c>
      <c r="G390" t="s">
        <v>526</v>
      </c>
      <c r="I390">
        <v>188</v>
      </c>
      <c r="J390" t="s">
        <v>1082</v>
      </c>
      <c r="K390" t="s">
        <v>526</v>
      </c>
      <c r="M390">
        <v>188</v>
      </c>
      <c r="N390" t="s">
        <v>1252</v>
      </c>
      <c r="O390" t="s">
        <v>526</v>
      </c>
    </row>
    <row r="391" spans="1:15" x14ac:dyDescent="0.25">
      <c r="A391">
        <v>189</v>
      </c>
      <c r="B391" t="s">
        <v>727</v>
      </c>
      <c r="C391" t="s">
        <v>527</v>
      </c>
      <c r="E391">
        <v>189</v>
      </c>
      <c r="F391" t="s">
        <v>901</v>
      </c>
      <c r="G391" t="s">
        <v>527</v>
      </c>
      <c r="I391">
        <v>189</v>
      </c>
      <c r="J391" t="s">
        <v>1083</v>
      </c>
      <c r="K391" t="s">
        <v>527</v>
      </c>
      <c r="M391">
        <v>189</v>
      </c>
      <c r="N391" t="s">
        <v>1253</v>
      </c>
      <c r="O391" t="s">
        <v>527</v>
      </c>
    </row>
    <row r="392" spans="1:15" x14ac:dyDescent="0.25">
      <c r="A392">
        <v>190</v>
      </c>
      <c r="B392" t="s">
        <v>728</v>
      </c>
      <c r="C392" t="s">
        <v>528</v>
      </c>
      <c r="E392">
        <v>190</v>
      </c>
      <c r="F392" t="s">
        <v>902</v>
      </c>
      <c r="G392" t="s">
        <v>528</v>
      </c>
      <c r="I392">
        <v>190</v>
      </c>
      <c r="J392" t="s">
        <v>1084</v>
      </c>
      <c r="K392" t="s">
        <v>528</v>
      </c>
      <c r="M392">
        <v>190</v>
      </c>
      <c r="N392" t="s">
        <v>1254</v>
      </c>
      <c r="O392" t="s">
        <v>528</v>
      </c>
    </row>
    <row r="393" spans="1:15" x14ac:dyDescent="0.25">
      <c r="A393">
        <v>191</v>
      </c>
      <c r="B393" t="s">
        <v>729</v>
      </c>
      <c r="C393" t="s">
        <v>529</v>
      </c>
      <c r="E393">
        <v>191</v>
      </c>
      <c r="F393" t="s">
        <v>903</v>
      </c>
      <c r="G393" t="s">
        <v>529</v>
      </c>
      <c r="I393">
        <v>191</v>
      </c>
      <c r="J393" t="s">
        <v>1085</v>
      </c>
      <c r="K393" t="s">
        <v>529</v>
      </c>
      <c r="M393">
        <v>191</v>
      </c>
      <c r="N393" t="s">
        <v>1255</v>
      </c>
      <c r="O393" t="s">
        <v>529</v>
      </c>
    </row>
    <row r="394" spans="1:15" x14ac:dyDescent="0.25">
      <c r="A394">
        <v>192</v>
      </c>
      <c r="B394" t="s">
        <v>730</v>
      </c>
      <c r="C394" t="s">
        <v>530</v>
      </c>
      <c r="E394">
        <v>192</v>
      </c>
      <c r="F394" t="s">
        <v>904</v>
      </c>
      <c r="G394" t="s">
        <v>530</v>
      </c>
      <c r="I394">
        <v>192</v>
      </c>
      <c r="J394" t="s">
        <v>1086</v>
      </c>
      <c r="K394" t="s">
        <v>530</v>
      </c>
      <c r="M394">
        <v>192</v>
      </c>
      <c r="N394" t="s">
        <v>1256</v>
      </c>
      <c r="O394" t="s">
        <v>530</v>
      </c>
    </row>
    <row r="395" spans="1:15" x14ac:dyDescent="0.25">
      <c r="A395">
        <v>193</v>
      </c>
      <c r="B395" t="s">
        <v>731</v>
      </c>
      <c r="C395" t="s">
        <v>531</v>
      </c>
      <c r="E395">
        <v>193</v>
      </c>
      <c r="F395" t="s">
        <v>905</v>
      </c>
      <c r="G395" t="s">
        <v>531</v>
      </c>
      <c r="I395">
        <v>193</v>
      </c>
      <c r="J395" t="s">
        <v>1087</v>
      </c>
      <c r="K395" t="s">
        <v>531</v>
      </c>
      <c r="M395">
        <v>193</v>
      </c>
      <c r="N395" t="s">
        <v>1257</v>
      </c>
      <c r="O395" t="s">
        <v>531</v>
      </c>
    </row>
    <row r="396" spans="1:15" x14ac:dyDescent="0.25">
      <c r="A396">
        <v>194</v>
      </c>
      <c r="B396" t="s">
        <v>732</v>
      </c>
      <c r="C396" t="s">
        <v>533</v>
      </c>
      <c r="E396">
        <v>194</v>
      </c>
      <c r="F396" t="s">
        <v>906</v>
      </c>
      <c r="G396" t="s">
        <v>533</v>
      </c>
      <c r="I396">
        <v>194</v>
      </c>
      <c r="J396" t="s">
        <v>1088</v>
      </c>
      <c r="K396" t="s">
        <v>533</v>
      </c>
      <c r="M396">
        <v>194</v>
      </c>
      <c r="N396" t="s">
        <v>1258</v>
      </c>
      <c r="O396" t="s">
        <v>533</v>
      </c>
    </row>
    <row r="397" spans="1:15" x14ac:dyDescent="0.25">
      <c r="A397">
        <v>195</v>
      </c>
      <c r="B397" t="s">
        <v>733</v>
      </c>
      <c r="C397" t="s">
        <v>534</v>
      </c>
      <c r="E397">
        <v>195</v>
      </c>
      <c r="F397" t="s">
        <v>907</v>
      </c>
      <c r="G397" t="s">
        <v>534</v>
      </c>
      <c r="I397">
        <v>195</v>
      </c>
      <c r="J397" t="s">
        <v>1089</v>
      </c>
      <c r="K397" t="s">
        <v>534</v>
      </c>
      <c r="M397">
        <v>195</v>
      </c>
      <c r="N397" t="s">
        <v>1259</v>
      </c>
      <c r="O397" t="s">
        <v>534</v>
      </c>
    </row>
  </sheetData>
  <mergeCells count="5">
    <mergeCell ref="M1:P1"/>
    <mergeCell ref="R1:U1"/>
    <mergeCell ref="A1:D1"/>
    <mergeCell ref="E1:H1"/>
    <mergeCell ref="I1:L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38474-48C7-4DA2-B1B0-98839C06534C}">
  <dimension ref="A1:DE122"/>
  <sheetViews>
    <sheetView topLeftCell="BI25" zoomScale="81" zoomScaleNormal="70" workbookViewId="0">
      <selection activeCell="BY41" sqref="BY41"/>
    </sheetView>
  </sheetViews>
  <sheetFormatPr defaultRowHeight="15" x14ac:dyDescent="0.25"/>
  <cols>
    <col min="1" max="3" width="9.140625" customWidth="1"/>
    <col min="4" max="4" width="10.85546875" customWidth="1"/>
    <col min="5" max="5" width="11" customWidth="1"/>
    <col min="6" max="7" width="10.85546875" customWidth="1"/>
    <col min="8" max="67" width="9.140625" customWidth="1"/>
    <col min="68" max="68" width="12.7109375" customWidth="1"/>
    <col min="69" max="72" width="13.85546875" customWidth="1"/>
    <col min="73" max="77" width="9.140625" customWidth="1"/>
    <col min="78" max="78" width="10.5703125" customWidth="1"/>
    <col min="79" max="1024" width="9.140625" customWidth="1"/>
  </cols>
  <sheetData>
    <row r="1" spans="1:109" x14ac:dyDescent="0.25">
      <c r="A1" s="12" t="s">
        <v>0</v>
      </c>
      <c r="B1" s="12"/>
      <c r="D1" t="s">
        <v>1</v>
      </c>
      <c r="S1" t="s">
        <v>2</v>
      </c>
      <c r="AI1" t="s">
        <v>24</v>
      </c>
      <c r="AU1" t="s">
        <v>25</v>
      </c>
      <c r="BZ1" s="14" t="s">
        <v>37</v>
      </c>
      <c r="CA1" s="15" t="s">
        <v>30</v>
      </c>
      <c r="CB1" s="15"/>
      <c r="CO1" t="s">
        <v>333</v>
      </c>
    </row>
    <row r="2" spans="1:109" x14ac:dyDescent="0.25">
      <c r="A2" t="s">
        <v>3</v>
      </c>
      <c r="B2" t="s">
        <v>4</v>
      </c>
      <c r="BZ2" s="14"/>
      <c r="CA2" s="6" t="s">
        <v>35</v>
      </c>
      <c r="CB2" s="6" t="s">
        <v>36</v>
      </c>
      <c r="CO2" t="s">
        <v>16</v>
      </c>
      <c r="CU2" t="s">
        <v>30</v>
      </c>
      <c r="CV2" t="s">
        <v>31</v>
      </c>
    </row>
    <row r="3" spans="1:109" x14ac:dyDescent="0.25">
      <c r="A3">
        <v>2000</v>
      </c>
      <c r="B3">
        <f>A3/10^6</f>
        <v>2E-3</v>
      </c>
      <c r="BP3" s="14" t="s">
        <v>30</v>
      </c>
      <c r="BQ3" s="15" t="s">
        <v>31</v>
      </c>
      <c r="BR3" s="15"/>
      <c r="BS3" s="15"/>
      <c r="BT3" s="15"/>
      <c r="BZ3" s="5" t="s">
        <v>0</v>
      </c>
      <c r="CA3" s="5" t="s">
        <v>38</v>
      </c>
      <c r="CB3" s="5" t="s">
        <v>39</v>
      </c>
      <c r="CO3">
        <v>331904.3</v>
      </c>
      <c r="CQ3">
        <v>1</v>
      </c>
      <c r="CV3" t="s">
        <v>32</v>
      </c>
    </row>
    <row r="4" spans="1:109" x14ac:dyDescent="0.25">
      <c r="D4" s="13" t="s">
        <v>5</v>
      </c>
      <c r="E4" s="13"/>
      <c r="F4" s="13" t="s">
        <v>6</v>
      </c>
      <c r="G4" s="13"/>
      <c r="H4" t="s">
        <v>7</v>
      </c>
      <c r="J4" t="s">
        <v>8</v>
      </c>
      <c r="K4" s="1" t="s">
        <v>9</v>
      </c>
      <c r="V4" s="13" t="s">
        <v>5</v>
      </c>
      <c r="W4" s="13"/>
      <c r="X4" s="13" t="s">
        <v>6</v>
      </c>
      <c r="Y4" s="13"/>
      <c r="Z4" t="s">
        <v>7</v>
      </c>
      <c r="AB4" t="s">
        <v>8</v>
      </c>
      <c r="AC4" s="1" t="s">
        <v>9</v>
      </c>
      <c r="AL4" s="13" t="s">
        <v>5</v>
      </c>
      <c r="AM4" s="13"/>
      <c r="AN4" s="13" t="s">
        <v>6</v>
      </c>
      <c r="AO4" s="13"/>
      <c r="AP4" t="s">
        <v>7</v>
      </c>
      <c r="AR4" t="s">
        <v>8</v>
      </c>
      <c r="AS4" s="1" t="s">
        <v>9</v>
      </c>
      <c r="AX4" s="13" t="s">
        <v>5</v>
      </c>
      <c r="AY4" s="13"/>
      <c r="AZ4" s="13" t="s">
        <v>6</v>
      </c>
      <c r="BA4" s="13"/>
      <c r="BB4" t="s">
        <v>7</v>
      </c>
      <c r="BD4" t="s">
        <v>8</v>
      </c>
      <c r="BE4" s="1" t="s">
        <v>9</v>
      </c>
      <c r="BP4" s="14"/>
      <c r="BQ4" s="15" t="s">
        <v>32</v>
      </c>
      <c r="BR4" s="15"/>
      <c r="BS4" s="15"/>
      <c r="BT4" s="15"/>
      <c r="BZ4" s="6" t="s">
        <v>23</v>
      </c>
      <c r="CA4" s="6" t="s">
        <v>23</v>
      </c>
      <c r="CB4" s="6" t="s">
        <v>23</v>
      </c>
      <c r="CO4">
        <v>3.3190430000000002</v>
      </c>
      <c r="CQ4">
        <v>1.5</v>
      </c>
      <c r="CU4" t="s">
        <v>23</v>
      </c>
      <c r="CV4" t="s">
        <v>26</v>
      </c>
      <c r="CW4" t="s">
        <v>27</v>
      </c>
      <c r="CX4" t="s">
        <v>28</v>
      </c>
      <c r="CY4" t="s">
        <v>29</v>
      </c>
    </row>
    <row r="5" spans="1:109" ht="15" customHeight="1" x14ac:dyDescent="0.25">
      <c r="A5" t="s">
        <v>10</v>
      </c>
      <c r="B5" t="s">
        <v>11</v>
      </c>
      <c r="C5" t="s">
        <v>12</v>
      </c>
      <c r="D5" t="s">
        <v>13</v>
      </c>
      <c r="E5" t="s">
        <v>14</v>
      </c>
      <c r="F5" t="s">
        <v>13</v>
      </c>
      <c r="G5" t="s">
        <v>14</v>
      </c>
      <c r="S5" t="s">
        <v>10</v>
      </c>
      <c r="T5" t="s">
        <v>11</v>
      </c>
      <c r="U5" t="s">
        <v>12</v>
      </c>
      <c r="V5" t="s">
        <v>13</v>
      </c>
      <c r="W5" t="s">
        <v>14</v>
      </c>
      <c r="X5" t="s">
        <v>13</v>
      </c>
      <c r="Y5" t="s">
        <v>14</v>
      </c>
      <c r="AI5" t="s">
        <v>10</v>
      </c>
      <c r="AJ5" t="s">
        <v>11</v>
      </c>
      <c r="AK5" t="s">
        <v>12</v>
      </c>
      <c r="AL5" t="s">
        <v>13</v>
      </c>
      <c r="AM5" t="s">
        <v>14</v>
      </c>
      <c r="AN5" t="s">
        <v>13</v>
      </c>
      <c r="AO5" t="s">
        <v>14</v>
      </c>
      <c r="AU5" t="s">
        <v>10</v>
      </c>
      <c r="AV5" t="s">
        <v>11</v>
      </c>
      <c r="AW5" t="s">
        <v>12</v>
      </c>
      <c r="AX5" t="s">
        <v>13</v>
      </c>
      <c r="AY5" t="s">
        <v>14</v>
      </c>
      <c r="AZ5" t="s">
        <v>13</v>
      </c>
      <c r="BA5" t="s">
        <v>14</v>
      </c>
      <c r="BP5" s="6" t="s">
        <v>23</v>
      </c>
      <c r="BQ5" s="6" t="s">
        <v>26</v>
      </c>
      <c r="BR5" s="6" t="s">
        <v>27</v>
      </c>
      <c r="BS5" s="6" t="s">
        <v>28</v>
      </c>
      <c r="BT5" s="6" t="s">
        <v>29</v>
      </c>
      <c r="BZ5" s="6">
        <f t="shared" ref="BZ5:CA10" si="0">AV7</f>
        <v>50</v>
      </c>
      <c r="CA5" s="6">
        <f t="shared" si="0"/>
        <v>40</v>
      </c>
      <c r="CB5" s="6">
        <f t="shared" ref="CB5:CB10" si="1">AU7</f>
        <v>30</v>
      </c>
      <c r="CO5">
        <v>0.31904300000000002</v>
      </c>
      <c r="CU5">
        <v>40</v>
      </c>
      <c r="CV5">
        <f>BQ36*$CQ$6</f>
        <v>0.33492177777777793</v>
      </c>
      <c r="CW5">
        <f t="shared" ref="CW5:CY10" si="2">BR36*$CQ$6</f>
        <v>0.13157200000000005</v>
      </c>
      <c r="CX5">
        <f t="shared" si="2"/>
        <v>0.10119511111111122</v>
      </c>
      <c r="CY5">
        <f t="shared" si="2"/>
        <v>0.10236488888888869</v>
      </c>
      <c r="DB5">
        <v>100</v>
      </c>
      <c r="DC5">
        <v>39.284396749999999</v>
      </c>
      <c r="DD5">
        <v>30.214550930000001</v>
      </c>
      <c r="DE5">
        <v>30.56381988</v>
      </c>
    </row>
    <row r="6" spans="1:109" x14ac:dyDescent="0.25">
      <c r="B6" t="s">
        <v>15</v>
      </c>
      <c r="C6" t="s">
        <v>15</v>
      </c>
      <c r="D6" t="s">
        <v>16</v>
      </c>
      <c r="E6" t="s">
        <v>16</v>
      </c>
      <c r="F6" t="s">
        <v>16</v>
      </c>
      <c r="G6" t="s">
        <v>16</v>
      </c>
      <c r="T6" t="s">
        <v>15</v>
      </c>
      <c r="U6" t="s">
        <v>15</v>
      </c>
      <c r="V6" t="s">
        <v>16</v>
      </c>
      <c r="W6" t="s">
        <v>16</v>
      </c>
      <c r="X6" t="s">
        <v>16</v>
      </c>
      <c r="Y6" t="s">
        <v>16</v>
      </c>
      <c r="AJ6" t="s">
        <v>15</v>
      </c>
      <c r="AK6" t="s">
        <v>15</v>
      </c>
      <c r="AL6" t="s">
        <v>16</v>
      </c>
      <c r="AM6" t="s">
        <v>16</v>
      </c>
      <c r="AN6" t="s">
        <v>16</v>
      </c>
      <c r="AO6" t="s">
        <v>16</v>
      </c>
      <c r="AV6" t="s">
        <v>15</v>
      </c>
      <c r="AW6" t="s">
        <v>15</v>
      </c>
      <c r="AX6" t="s">
        <v>16</v>
      </c>
      <c r="AY6" t="s">
        <v>16</v>
      </c>
      <c r="AZ6" t="s">
        <v>16</v>
      </c>
      <c r="BA6" t="s">
        <v>16</v>
      </c>
      <c r="BP6" s="6">
        <v>40</v>
      </c>
      <c r="BQ6" s="7">
        <f>AK43</f>
        <v>3.7535740000000004</v>
      </c>
      <c r="BR6" s="7">
        <f t="shared" ref="BR6:BT6" si="3">AL43</f>
        <v>3.2960370000000001</v>
      </c>
      <c r="BS6" s="7">
        <f t="shared" si="3"/>
        <v>3.2276890000000003</v>
      </c>
      <c r="BT6" s="7">
        <f t="shared" si="3"/>
        <v>3.2303209999999996</v>
      </c>
      <c r="BZ6" s="6">
        <f t="shared" si="0"/>
        <v>60</v>
      </c>
      <c r="CA6" s="8">
        <f t="shared" si="0"/>
        <v>33.333333333333336</v>
      </c>
      <c r="CB6" s="6">
        <f t="shared" si="1"/>
        <v>25</v>
      </c>
      <c r="CO6">
        <v>0.46459979200000001</v>
      </c>
      <c r="CQ6">
        <f>(CQ3/CQ4)^2</f>
        <v>0.44444444444444442</v>
      </c>
      <c r="CU6">
        <v>33.333333330000002</v>
      </c>
      <c r="CV6">
        <f t="shared" ref="CV6:CV10" si="4">BQ37*$CQ$6</f>
        <v>0.32129084444444445</v>
      </c>
      <c r="CW6">
        <f t="shared" si="2"/>
        <v>0.12745644444444457</v>
      </c>
      <c r="CX6">
        <f t="shared" si="2"/>
        <v>0.13384355555555555</v>
      </c>
      <c r="CY6">
        <f t="shared" si="2"/>
        <v>9.590711111111104E-2</v>
      </c>
      <c r="DB6">
        <v>95.930114360000005</v>
      </c>
      <c r="DC6">
        <v>38.055585780000001</v>
      </c>
      <c r="DD6">
        <v>39.96263141</v>
      </c>
      <c r="DE6">
        <v>28.6356748</v>
      </c>
    </row>
    <row r="7" spans="1:109" x14ac:dyDescent="0.25">
      <c r="A7">
        <f>C7*0.75</f>
        <v>30</v>
      </c>
      <c r="B7">
        <v>50</v>
      </c>
      <c r="C7">
        <f t="shared" ref="C7" si="5">$A$3/B7</f>
        <v>40</v>
      </c>
      <c r="D7" s="2"/>
      <c r="E7" s="2"/>
      <c r="F7" s="3">
        <v>375357.4</v>
      </c>
      <c r="G7" s="2">
        <v>397103.6</v>
      </c>
      <c r="H7" t="e">
        <f t="shared" ref="H7" si="6">(D7-F7)/D7*100</f>
        <v>#DIV/0!</v>
      </c>
      <c r="I7" t="e">
        <f t="shared" ref="I7" si="7">(E7-G7)/E7*100</f>
        <v>#DIV/0!</v>
      </c>
      <c r="J7" s="2">
        <f>G7-F7</f>
        <v>21746.199999999953</v>
      </c>
      <c r="K7" t="s">
        <v>17</v>
      </c>
      <c r="S7">
        <f>U7*0.75</f>
        <v>30</v>
      </c>
      <c r="T7">
        <v>50</v>
      </c>
      <c r="U7">
        <f t="shared" ref="U7" si="8">$A$3/T7</f>
        <v>40</v>
      </c>
      <c r="V7" s="2"/>
      <c r="W7" s="2"/>
      <c r="X7">
        <v>329603.7</v>
      </c>
      <c r="Y7">
        <v>353671</v>
      </c>
      <c r="Z7" t="e">
        <f>(V7-X12)/V7*100</f>
        <v>#DIV/0!</v>
      </c>
      <c r="AA7" t="e">
        <f>(W7-Y12)/W7*100</f>
        <v>#DIV/0!</v>
      </c>
      <c r="AB7">
        <f>Y7-X7</f>
        <v>24067.299999999988</v>
      </c>
      <c r="AC7" t="s">
        <v>17</v>
      </c>
      <c r="AI7">
        <f>AK7*0.75</f>
        <v>30</v>
      </c>
      <c r="AJ7">
        <v>50</v>
      </c>
      <c r="AK7">
        <f t="shared" ref="AK7" si="9">$A$3/AJ7</f>
        <v>40</v>
      </c>
      <c r="AL7" s="2"/>
      <c r="AM7" s="2"/>
      <c r="AN7">
        <v>322768.90000000002</v>
      </c>
      <c r="AO7">
        <v>347227.3</v>
      </c>
      <c r="AP7" t="e">
        <f>(AL7-AN12)/AL7*100</f>
        <v>#DIV/0!</v>
      </c>
      <c r="AQ7" t="e">
        <f>(AM7-AO12)/AM7*100</f>
        <v>#DIV/0!</v>
      </c>
      <c r="AR7">
        <f>AO7-AN7</f>
        <v>24458.399999999965</v>
      </c>
      <c r="AS7" t="s">
        <v>17</v>
      </c>
      <c r="AU7">
        <f>AW7*0.75</f>
        <v>30</v>
      </c>
      <c r="AV7">
        <v>50</v>
      </c>
      <c r="AW7">
        <f t="shared" ref="AW7" si="10">$A$3/AV7</f>
        <v>40</v>
      </c>
      <c r="AX7" s="2"/>
      <c r="AY7" s="2"/>
      <c r="AZ7">
        <v>323032.09999999998</v>
      </c>
      <c r="BA7">
        <v>347475.8</v>
      </c>
      <c r="BB7" t="e">
        <f>(AX7-AZ12)/AX7*100</f>
        <v>#DIV/0!</v>
      </c>
      <c r="BC7" t="e">
        <f>(AY7-BA12)/AY7*100</f>
        <v>#DIV/0!</v>
      </c>
      <c r="BD7">
        <f t="shared" ref="BD7:BD11" si="11">BA7-AZ7</f>
        <v>24443.700000000012</v>
      </c>
      <c r="BE7" t="s">
        <v>17</v>
      </c>
      <c r="BP7" s="8">
        <v>33.333333333333336</v>
      </c>
      <c r="BQ7" s="7">
        <f t="shared" ref="BQ7:BQ11" si="12">AK44</f>
        <v>3.7229044</v>
      </c>
      <c r="BR7" s="7">
        <f t="shared" ref="BR7:BR11" si="13">AL44</f>
        <v>3.2867770000000003</v>
      </c>
      <c r="BS7" s="7">
        <f t="shared" ref="BS7:BS11" si="14">AM44</f>
        <v>3.301148</v>
      </c>
      <c r="BT7" s="7">
        <f t="shared" ref="BT7:BT11" si="15">AN44</f>
        <v>3.2157909999999998</v>
      </c>
      <c r="BZ7" s="6">
        <f t="shared" si="0"/>
        <v>70</v>
      </c>
      <c r="CA7" s="8">
        <f t="shared" si="0"/>
        <v>28.571428571428573</v>
      </c>
      <c r="CB7" s="6">
        <f t="shared" si="1"/>
        <v>20</v>
      </c>
      <c r="CU7">
        <v>28.571428569999998</v>
      </c>
      <c r="CV7">
        <f t="shared" si="4"/>
        <v>0.31632488888888882</v>
      </c>
      <c r="CW7">
        <f t="shared" si="2"/>
        <v>0.12428622222222231</v>
      </c>
      <c r="CX7">
        <f t="shared" si="2"/>
        <v>0.1566857777777777</v>
      </c>
      <c r="CY7">
        <f t="shared" si="2"/>
        <v>0.14197644444444454</v>
      </c>
      <c r="DB7">
        <v>94.447393349999999</v>
      </c>
      <c r="DC7">
        <v>37.109029769999999</v>
      </c>
      <c r="DD7">
        <v>46.782797709999997</v>
      </c>
      <c r="DE7">
        <v>42.390926440000001</v>
      </c>
    </row>
    <row r="8" spans="1:109" x14ac:dyDescent="0.25">
      <c r="A8">
        <f>C8*0.75</f>
        <v>25</v>
      </c>
      <c r="B8">
        <v>60</v>
      </c>
      <c r="C8">
        <f>$A$3/B8</f>
        <v>33.333333333333336</v>
      </c>
      <c r="F8" s="3">
        <v>372290.44</v>
      </c>
      <c r="G8">
        <v>394182.1</v>
      </c>
      <c r="H8" t="e">
        <f t="shared" ref="H8:I12" si="16">(D8-F8)/D8*100</f>
        <v>#DIV/0!</v>
      </c>
      <c r="I8" t="e">
        <f t="shared" si="16"/>
        <v>#DIV/0!</v>
      </c>
      <c r="J8">
        <f t="shared" ref="J8:J11" si="17">G8-F8</f>
        <v>21891.659999999974</v>
      </c>
      <c r="K8" t="s">
        <v>17</v>
      </c>
      <c r="S8">
        <f>U8*0.75</f>
        <v>25</v>
      </c>
      <c r="T8">
        <v>60</v>
      </c>
      <c r="U8">
        <f>$A$3/T8</f>
        <v>33.333333333333336</v>
      </c>
      <c r="X8">
        <v>328677.7</v>
      </c>
      <c r="Y8">
        <v>352801.6</v>
      </c>
      <c r="Z8" t="e">
        <f>(V8-X11)/V8*100</f>
        <v>#DIV/0!</v>
      </c>
      <c r="AA8" t="e">
        <f>(W8-Y11)/W8*100</f>
        <v>#DIV/0!</v>
      </c>
      <c r="AB8">
        <f t="shared" ref="AB8:AB11" si="18">Y8-X8</f>
        <v>24123.899999999965</v>
      </c>
      <c r="AC8" t="s">
        <v>17</v>
      </c>
      <c r="AI8">
        <f>AK8*0.75</f>
        <v>25</v>
      </c>
      <c r="AJ8">
        <v>60</v>
      </c>
      <c r="AK8">
        <f>$A$3/AJ8</f>
        <v>33.333333333333336</v>
      </c>
      <c r="AN8">
        <v>330114.8</v>
      </c>
      <c r="AO8">
        <v>354157.9</v>
      </c>
      <c r="AP8" t="e">
        <f>(AL8-AN11)/AL8*100</f>
        <v>#DIV/0!</v>
      </c>
      <c r="AQ8" t="e">
        <f>(AM8-AO11)/AM8*100</f>
        <v>#DIV/0!</v>
      </c>
      <c r="AR8">
        <f t="shared" ref="AR8:AR11" si="19">AO8-AN8</f>
        <v>24043.100000000035</v>
      </c>
      <c r="AS8" t="s">
        <v>17</v>
      </c>
      <c r="AU8">
        <f>AW8*0.75</f>
        <v>25</v>
      </c>
      <c r="AV8">
        <v>60</v>
      </c>
      <c r="AW8">
        <f>$A$3/AV8</f>
        <v>33.333333333333336</v>
      </c>
      <c r="AZ8">
        <v>321579.09999999998</v>
      </c>
      <c r="BA8">
        <v>346111.2</v>
      </c>
      <c r="BB8" t="e">
        <f>(AX8-AZ11)/AX8*100</f>
        <v>#DIV/0!</v>
      </c>
      <c r="BC8" t="e">
        <f>(AY8-BA11)/AY8*100</f>
        <v>#DIV/0!</v>
      </c>
      <c r="BD8">
        <f t="shared" si="11"/>
        <v>24532.100000000035</v>
      </c>
      <c r="BE8" t="s">
        <v>17</v>
      </c>
      <c r="BP8" s="8">
        <v>28.571428571428573</v>
      </c>
      <c r="BQ8" s="7">
        <f t="shared" si="12"/>
        <v>3.7117309999999999</v>
      </c>
      <c r="BR8" s="7">
        <f t="shared" si="13"/>
        <v>3.2796440000000002</v>
      </c>
      <c r="BS8" s="7">
        <f t="shared" si="14"/>
        <v>3.3525429999999998</v>
      </c>
      <c r="BT8" s="7">
        <f t="shared" si="15"/>
        <v>3.3194470000000003</v>
      </c>
      <c r="BZ8" s="6">
        <f t="shared" si="0"/>
        <v>80</v>
      </c>
      <c r="CA8" s="6">
        <f t="shared" si="0"/>
        <v>25</v>
      </c>
      <c r="CB8" s="6">
        <f t="shared" si="1"/>
        <v>18</v>
      </c>
      <c r="CU8">
        <v>25</v>
      </c>
      <c r="CV8">
        <f t="shared" si="4"/>
        <v>0.31288422222222223</v>
      </c>
      <c r="CW8">
        <f t="shared" si="2"/>
        <v>0.12182444444444446</v>
      </c>
      <c r="CX8">
        <f t="shared" si="2"/>
        <v>0.16096977777777788</v>
      </c>
      <c r="CY8">
        <f t="shared" si="2"/>
        <v>0.13516844444444448</v>
      </c>
      <c r="DB8">
        <v>93.420088800000002</v>
      </c>
      <c r="DC8">
        <v>36.373999099999999</v>
      </c>
      <c r="DD8">
        <v>48.061902349999997</v>
      </c>
      <c r="DE8">
        <v>40.358212999999999</v>
      </c>
    </row>
    <row r="9" spans="1:109" x14ac:dyDescent="0.25">
      <c r="A9">
        <v>20</v>
      </c>
      <c r="B9">
        <v>70</v>
      </c>
      <c r="C9">
        <f>$A$3/B9</f>
        <v>28.571428571428573</v>
      </c>
      <c r="F9">
        <v>371173.1</v>
      </c>
      <c r="G9">
        <v>393222.8</v>
      </c>
      <c r="H9" t="e">
        <f t="shared" si="16"/>
        <v>#DIV/0!</v>
      </c>
      <c r="I9" t="e">
        <f t="shared" si="16"/>
        <v>#DIV/0!</v>
      </c>
      <c r="J9">
        <f t="shared" si="17"/>
        <v>22049.700000000012</v>
      </c>
      <c r="S9">
        <v>20</v>
      </c>
      <c r="T9">
        <v>70</v>
      </c>
      <c r="U9">
        <f>$A$3/T9</f>
        <v>28.571428571428573</v>
      </c>
      <c r="X9">
        <v>327964.40000000002</v>
      </c>
      <c r="Y9">
        <v>352245.1</v>
      </c>
      <c r="Z9" t="e">
        <f t="shared" ref="Z9:AA12" si="20">(V9-X9)/V9*100</f>
        <v>#DIV/0!</v>
      </c>
      <c r="AA9" t="e">
        <f t="shared" si="20"/>
        <v>#DIV/0!</v>
      </c>
      <c r="AB9">
        <f t="shared" si="18"/>
        <v>24280.699999999953</v>
      </c>
      <c r="AI9">
        <v>20</v>
      </c>
      <c r="AJ9">
        <v>70</v>
      </c>
      <c r="AK9">
        <f>$A$3/AJ9</f>
        <v>28.571428571428573</v>
      </c>
      <c r="AN9">
        <v>335254.3</v>
      </c>
      <c r="AO9">
        <v>359126.6</v>
      </c>
      <c r="AP9" t="e">
        <f t="shared" ref="AP9:AQ12" si="21">(AL9-AN9)/AL9*100</f>
        <v>#DIV/0!</v>
      </c>
      <c r="AQ9" t="e">
        <f t="shared" si="21"/>
        <v>#DIV/0!</v>
      </c>
      <c r="AR9">
        <f t="shared" si="19"/>
        <v>23872.299999999988</v>
      </c>
      <c r="AU9">
        <v>20</v>
      </c>
      <c r="AV9">
        <v>70</v>
      </c>
      <c r="AW9">
        <f>$A$3/AV9</f>
        <v>28.571428571428573</v>
      </c>
      <c r="AZ9">
        <v>331944.7</v>
      </c>
      <c r="BA9">
        <v>356000.1</v>
      </c>
      <c r="BB9" t="e">
        <f t="shared" ref="BB9:BB12" si="22">(AX9-AZ9)/AX9*100</f>
        <v>#DIV/0!</v>
      </c>
      <c r="BC9" t="e">
        <f t="shared" ref="BC9:BC12" si="23">(AY9-BA9)/AY9*100</f>
        <v>#DIV/0!</v>
      </c>
      <c r="BD9">
        <f t="shared" si="11"/>
        <v>24055.399999999965</v>
      </c>
      <c r="BP9" s="6">
        <v>25</v>
      </c>
      <c r="BQ9" s="7">
        <f t="shared" si="12"/>
        <v>3.7039895</v>
      </c>
      <c r="BR9" s="7">
        <f t="shared" si="13"/>
        <v>3.274105</v>
      </c>
      <c r="BS9" s="7">
        <f t="shared" si="14"/>
        <v>3.3621820000000002</v>
      </c>
      <c r="BT9" s="7">
        <f t="shared" si="15"/>
        <v>3.3041290000000001</v>
      </c>
      <c r="BZ9" s="6">
        <f t="shared" si="0"/>
        <v>90</v>
      </c>
      <c r="CA9" s="8">
        <f t="shared" si="0"/>
        <v>22.222222222222221</v>
      </c>
      <c r="CB9" s="6">
        <f t="shared" si="1"/>
        <v>15</v>
      </c>
      <c r="CU9">
        <v>22.222222219999999</v>
      </c>
      <c r="CV9">
        <f t="shared" si="4"/>
        <v>0.30886755555555562</v>
      </c>
      <c r="CW9">
        <f t="shared" si="2"/>
        <v>0.12334044444444438</v>
      </c>
      <c r="CX9">
        <f t="shared" si="2"/>
        <v>0.15910355555555553</v>
      </c>
      <c r="CY9">
        <f t="shared" si="2"/>
        <v>0.20941688888888876</v>
      </c>
      <c r="DB9">
        <v>92.220803799999999</v>
      </c>
      <c r="DC9">
        <v>36.826642110000002</v>
      </c>
      <c r="DD9">
        <v>47.504690979999999</v>
      </c>
      <c r="DE9">
        <v>62.527104170000001</v>
      </c>
    </row>
    <row r="10" spans="1:109" x14ac:dyDescent="0.25">
      <c r="A10">
        <v>18</v>
      </c>
      <c r="B10">
        <v>80</v>
      </c>
      <c r="C10">
        <f>$A$3/B10</f>
        <v>25</v>
      </c>
      <c r="F10" s="3">
        <v>370398.95</v>
      </c>
      <c r="G10" s="3">
        <v>392376.39</v>
      </c>
      <c r="H10" t="e">
        <f t="shared" si="16"/>
        <v>#DIV/0!</v>
      </c>
      <c r="I10" t="e">
        <f t="shared" si="16"/>
        <v>#DIV/0!</v>
      </c>
      <c r="J10">
        <f t="shared" si="17"/>
        <v>21977.440000000002</v>
      </c>
      <c r="K10" t="s">
        <v>17</v>
      </c>
      <c r="S10">
        <v>18</v>
      </c>
      <c r="T10">
        <v>80</v>
      </c>
      <c r="U10">
        <f>$A$3/T10</f>
        <v>25</v>
      </c>
      <c r="X10" s="3">
        <v>327410.5</v>
      </c>
      <c r="Y10" s="3">
        <v>351600.3</v>
      </c>
      <c r="Z10" t="e">
        <f t="shared" si="20"/>
        <v>#DIV/0!</v>
      </c>
      <c r="AA10" t="e">
        <f t="shared" si="20"/>
        <v>#DIV/0!</v>
      </c>
      <c r="AB10">
        <f t="shared" si="18"/>
        <v>24189.799999999988</v>
      </c>
      <c r="AC10" t="s">
        <v>17</v>
      </c>
      <c r="AI10">
        <v>18</v>
      </c>
      <c r="AJ10">
        <v>80</v>
      </c>
      <c r="AK10">
        <f>$A$3/AJ10</f>
        <v>25</v>
      </c>
      <c r="AN10" s="3">
        <v>336218.2</v>
      </c>
      <c r="AO10" s="3">
        <v>359916.9</v>
      </c>
      <c r="AP10" t="e">
        <f t="shared" si="21"/>
        <v>#DIV/0!</v>
      </c>
      <c r="AQ10" t="e">
        <f t="shared" si="21"/>
        <v>#DIV/0!</v>
      </c>
      <c r="AR10">
        <f t="shared" si="19"/>
        <v>23698.700000000012</v>
      </c>
      <c r="AS10" t="s">
        <v>17</v>
      </c>
      <c r="AU10">
        <v>18</v>
      </c>
      <c r="AV10">
        <v>80</v>
      </c>
      <c r="AW10">
        <f>$A$3/AV10</f>
        <v>25</v>
      </c>
      <c r="AZ10" s="3">
        <v>330412.90000000002</v>
      </c>
      <c r="BA10" s="3">
        <v>354433.2</v>
      </c>
      <c r="BB10" t="e">
        <f t="shared" si="22"/>
        <v>#DIV/0!</v>
      </c>
      <c r="BC10" t="e">
        <f t="shared" si="23"/>
        <v>#DIV/0!</v>
      </c>
      <c r="BD10">
        <f t="shared" si="11"/>
        <v>24020.299999999988</v>
      </c>
      <c r="BE10" t="s">
        <v>17</v>
      </c>
      <c r="BP10" s="8">
        <v>22.222222222222221</v>
      </c>
      <c r="BQ10" s="7">
        <f t="shared" si="12"/>
        <v>3.6949520000000002</v>
      </c>
      <c r="BR10" s="7">
        <f t="shared" si="13"/>
        <v>3.2775159999999999</v>
      </c>
      <c r="BS10" s="7">
        <f t="shared" si="14"/>
        <v>3.3579829999999999</v>
      </c>
      <c r="BT10" s="7">
        <f t="shared" si="15"/>
        <v>3.4711879999999997</v>
      </c>
      <c r="BZ10" s="6">
        <f t="shared" si="0"/>
        <v>100</v>
      </c>
      <c r="CA10" s="6">
        <f t="shared" si="0"/>
        <v>20</v>
      </c>
      <c r="CB10" s="6">
        <f t="shared" si="1"/>
        <v>15</v>
      </c>
      <c r="CU10">
        <v>20</v>
      </c>
      <c r="CV10">
        <f t="shared" si="4"/>
        <v>0.30520222222222215</v>
      </c>
      <c r="CW10">
        <f t="shared" si="2"/>
        <v>0.11493675555555564</v>
      </c>
      <c r="CX10">
        <f t="shared" si="2"/>
        <v>0.17021511111111129</v>
      </c>
      <c r="CY10">
        <f t="shared" si="2"/>
        <v>0.2092755555555556</v>
      </c>
      <c r="DB10">
        <v>91.126418909999998</v>
      </c>
      <c r="DC10">
        <v>34.317492379999997</v>
      </c>
      <c r="DD10">
        <v>50.822347899999997</v>
      </c>
      <c r="DE10">
        <v>62.484905259999998</v>
      </c>
    </row>
    <row r="11" spans="1:109" x14ac:dyDescent="0.25">
      <c r="A11">
        <v>15</v>
      </c>
      <c r="B11">
        <v>90</v>
      </c>
      <c r="C11">
        <f>$A$3/B11</f>
        <v>22.222222222222221</v>
      </c>
      <c r="F11">
        <v>369495.2</v>
      </c>
      <c r="G11">
        <v>391512.4</v>
      </c>
      <c r="H11" t="e">
        <f t="shared" si="16"/>
        <v>#DIV/0!</v>
      </c>
      <c r="I11" t="e">
        <f t="shared" si="16"/>
        <v>#DIV/0!</v>
      </c>
      <c r="J11">
        <f t="shared" si="17"/>
        <v>22017.200000000012</v>
      </c>
      <c r="K11" t="s">
        <v>17</v>
      </c>
      <c r="S11">
        <v>15</v>
      </c>
      <c r="T11">
        <v>90</v>
      </c>
      <c r="U11">
        <f>$A$3/T11</f>
        <v>22.222222222222221</v>
      </c>
      <c r="X11" s="3">
        <v>327751.59999999998</v>
      </c>
      <c r="Y11">
        <v>351925.9</v>
      </c>
      <c r="Z11" t="e">
        <f t="shared" si="20"/>
        <v>#DIV/0!</v>
      </c>
      <c r="AA11" t="e">
        <f t="shared" si="20"/>
        <v>#DIV/0!</v>
      </c>
      <c r="AB11">
        <f t="shared" si="18"/>
        <v>24174.300000000047</v>
      </c>
      <c r="AC11" t="s">
        <v>17</v>
      </c>
      <c r="AI11">
        <v>15</v>
      </c>
      <c r="AJ11">
        <v>90</v>
      </c>
      <c r="AK11">
        <f>$A$3/AJ11</f>
        <v>22.222222222222221</v>
      </c>
      <c r="AN11" s="3">
        <v>335798.3</v>
      </c>
      <c r="AO11">
        <v>359524.1</v>
      </c>
      <c r="AP11" t="e">
        <f t="shared" si="21"/>
        <v>#DIV/0!</v>
      </c>
      <c r="AQ11" t="e">
        <f t="shared" si="21"/>
        <v>#DIV/0!</v>
      </c>
      <c r="AR11">
        <f t="shared" si="19"/>
        <v>23725.799999999988</v>
      </c>
      <c r="AS11" t="s">
        <v>17</v>
      </c>
      <c r="AU11">
        <v>15</v>
      </c>
      <c r="AV11">
        <v>90</v>
      </c>
      <c r="AW11">
        <f>$A$3/AV11</f>
        <v>22.222222222222221</v>
      </c>
      <c r="AZ11" s="3">
        <v>347118.8</v>
      </c>
      <c r="BA11">
        <v>370240.8</v>
      </c>
      <c r="BB11" t="e">
        <f t="shared" si="22"/>
        <v>#DIV/0!</v>
      </c>
      <c r="BC11" t="e">
        <f t="shared" si="23"/>
        <v>#DIV/0!</v>
      </c>
      <c r="BD11">
        <f t="shared" si="11"/>
        <v>23122</v>
      </c>
      <c r="BE11" t="s">
        <v>17</v>
      </c>
      <c r="BP11" s="6">
        <v>20</v>
      </c>
      <c r="BQ11" s="7">
        <f t="shared" si="12"/>
        <v>3.6867049999999999</v>
      </c>
      <c r="BR11" s="7">
        <f t="shared" si="13"/>
        <v>3.2586077000000002</v>
      </c>
      <c r="BS11" s="7">
        <f t="shared" si="14"/>
        <v>3.3829840000000004</v>
      </c>
      <c r="BT11" s="7">
        <f t="shared" si="15"/>
        <v>3.4708700000000001</v>
      </c>
      <c r="CU11" t="s">
        <v>30</v>
      </c>
      <c r="CV11" t="s">
        <v>33</v>
      </c>
    </row>
    <row r="12" spans="1:109" x14ac:dyDescent="0.25">
      <c r="A12">
        <f>C12*0.75</f>
        <v>15</v>
      </c>
      <c r="B12">
        <v>100</v>
      </c>
      <c r="C12">
        <f>$A$3/B12</f>
        <v>20</v>
      </c>
      <c r="F12">
        <v>368670.5</v>
      </c>
      <c r="G12">
        <v>390722.2</v>
      </c>
      <c r="H12" t="e">
        <f t="shared" si="16"/>
        <v>#DIV/0!</v>
      </c>
      <c r="I12" t="e">
        <f t="shared" si="16"/>
        <v>#DIV/0!</v>
      </c>
      <c r="J12">
        <f>G12-F12</f>
        <v>22051.700000000012</v>
      </c>
      <c r="S12">
        <f>U12*0.75</f>
        <v>15</v>
      </c>
      <c r="T12">
        <v>100</v>
      </c>
      <c r="U12">
        <f>$A$3/T12</f>
        <v>20</v>
      </c>
      <c r="X12">
        <v>325860.77</v>
      </c>
      <c r="Y12">
        <v>350137.26</v>
      </c>
      <c r="Z12" t="e">
        <f t="shared" si="20"/>
        <v>#DIV/0!</v>
      </c>
      <c r="AA12" t="e">
        <f t="shared" si="20"/>
        <v>#DIV/0!</v>
      </c>
      <c r="AB12">
        <f>Y12-X12</f>
        <v>24276.489999999991</v>
      </c>
      <c r="AI12">
        <f>AK12*0.75</f>
        <v>15</v>
      </c>
      <c r="AJ12">
        <v>100</v>
      </c>
      <c r="AK12">
        <f>$A$3/AJ12</f>
        <v>20</v>
      </c>
      <c r="AN12">
        <f>Q57</f>
        <v>338298.4</v>
      </c>
      <c r="AO12">
        <f>R57</f>
        <v>361882.6</v>
      </c>
      <c r="AP12" t="e">
        <f t="shared" si="21"/>
        <v>#DIV/0!</v>
      </c>
      <c r="AQ12" t="e">
        <f t="shared" si="21"/>
        <v>#DIV/0!</v>
      </c>
      <c r="AR12">
        <f>AO12-AN12</f>
        <v>23584.199999999953</v>
      </c>
      <c r="AU12">
        <f>AW12*0.75</f>
        <v>15</v>
      </c>
      <c r="AV12">
        <v>100</v>
      </c>
      <c r="AW12">
        <f>$A$3/AV12</f>
        <v>20</v>
      </c>
      <c r="AZ12">
        <v>347087</v>
      </c>
      <c r="BA12">
        <v>370205.5</v>
      </c>
      <c r="BB12" t="e">
        <f t="shared" si="22"/>
        <v>#DIV/0!</v>
      </c>
      <c r="BC12" t="e">
        <f t="shared" si="23"/>
        <v>#DIV/0!</v>
      </c>
      <c r="BD12">
        <f>BA12-AZ12</f>
        <v>23118.5</v>
      </c>
      <c r="BP12" s="14" t="s">
        <v>30</v>
      </c>
      <c r="BQ12" s="15" t="s">
        <v>33</v>
      </c>
      <c r="BR12" s="15"/>
      <c r="BS12" s="15"/>
      <c r="BT12" s="15"/>
      <c r="CV12" t="s">
        <v>32</v>
      </c>
    </row>
    <row r="13" spans="1:109" x14ac:dyDescent="0.25">
      <c r="BP13" s="14"/>
      <c r="BQ13" s="15" t="s">
        <v>32</v>
      </c>
      <c r="BR13" s="15"/>
      <c r="BS13" s="15"/>
      <c r="BT13" s="15"/>
      <c r="CU13" t="s">
        <v>23</v>
      </c>
      <c r="CV13" t="s">
        <v>26</v>
      </c>
      <c r="CW13" t="s">
        <v>27</v>
      </c>
      <c r="CX13" t="s">
        <v>28</v>
      </c>
      <c r="CY13" t="s">
        <v>29</v>
      </c>
    </row>
    <row r="14" spans="1:109" x14ac:dyDescent="0.25">
      <c r="BP14" s="6" t="s">
        <v>23</v>
      </c>
      <c r="BQ14" s="6" t="s">
        <v>26</v>
      </c>
      <c r="BR14" s="6" t="s">
        <v>27</v>
      </c>
      <c r="BS14" s="6" t="s">
        <v>28</v>
      </c>
      <c r="BT14" s="6" t="s">
        <v>29</v>
      </c>
      <c r="CU14">
        <v>40</v>
      </c>
      <c r="CV14">
        <v>0.45114312299999998</v>
      </c>
      <c r="CW14">
        <v>0.249355354</v>
      </c>
      <c r="CX14">
        <v>0.21941793700000001</v>
      </c>
      <c r="CY14">
        <v>0.22057246799999999</v>
      </c>
    </row>
    <row r="15" spans="1:109" x14ac:dyDescent="0.25">
      <c r="BP15" s="6">
        <v>40</v>
      </c>
      <c r="BQ15" s="7">
        <f>AK80</f>
        <v>3.9710359999999998</v>
      </c>
      <c r="BR15" s="7">
        <f t="shared" ref="BR15:BT15" si="24">AL80</f>
        <v>3.5367099999999998</v>
      </c>
      <c r="BS15" s="7">
        <f t="shared" si="24"/>
        <v>3.4722729999999999</v>
      </c>
      <c r="BT15" s="7">
        <f t="shared" si="24"/>
        <v>3.474758</v>
      </c>
      <c r="CU15">
        <v>33.333333330000002</v>
      </c>
      <c r="CV15">
        <v>0.43756983999999999</v>
      </c>
      <c r="CW15">
        <v>0.245316124</v>
      </c>
      <c r="CX15">
        <v>0.25161749100000003</v>
      </c>
      <c r="CY15">
        <v>0.214232539</v>
      </c>
    </row>
    <row r="16" spans="1:109" x14ac:dyDescent="0.25">
      <c r="BP16" s="8">
        <v>33.333333333333336</v>
      </c>
      <c r="BQ16" s="7">
        <f t="shared" ref="BQ16:BQ20" si="25">AK81</f>
        <v>3.9418209999999996</v>
      </c>
      <c r="BR16" s="7">
        <f t="shared" ref="BR16:BR20" si="26">AL81</f>
        <v>3.5280159999999996</v>
      </c>
      <c r="BS16" s="7">
        <f t="shared" ref="BS16:BS20" si="27">AM81</f>
        <v>3.541579</v>
      </c>
      <c r="BT16" s="7">
        <f t="shared" ref="BT16:BT20" si="28">AN81</f>
        <v>3.461112</v>
      </c>
      <c r="CU16">
        <v>28.571428569999998</v>
      </c>
      <c r="CV16">
        <v>0.43311293499999998</v>
      </c>
      <c r="CW16">
        <v>0.242730626</v>
      </c>
      <c r="CX16">
        <v>0.27470206000000003</v>
      </c>
      <c r="CY16">
        <v>0.260176348</v>
      </c>
    </row>
    <row r="17" spans="68:103" x14ac:dyDescent="0.25">
      <c r="BP17" s="8">
        <v>28.571428571428573</v>
      </c>
      <c r="BQ17" s="7">
        <f t="shared" si="25"/>
        <v>3.9322279999999998</v>
      </c>
      <c r="BR17" s="7">
        <f t="shared" si="26"/>
        <v>3.5224509999999998</v>
      </c>
      <c r="BS17" s="7">
        <f t="shared" si="27"/>
        <v>3.5912659999999996</v>
      </c>
      <c r="BT17" s="7">
        <f t="shared" si="28"/>
        <v>3.5600009999999997</v>
      </c>
      <c r="CU17">
        <v>25</v>
      </c>
      <c r="CV17">
        <v>0.42918051600000001</v>
      </c>
      <c r="CW17">
        <v>0.23973488600000001</v>
      </c>
      <c r="CX17">
        <v>0.27837379299999998</v>
      </c>
      <c r="CY17">
        <v>0.25289653400000001</v>
      </c>
    </row>
    <row r="18" spans="68:103" x14ac:dyDescent="0.25">
      <c r="BP18" s="6">
        <v>25</v>
      </c>
      <c r="BQ18" s="7">
        <f t="shared" si="25"/>
        <v>3.9237639</v>
      </c>
      <c r="BR18" s="7">
        <f t="shared" si="26"/>
        <v>3.516003</v>
      </c>
      <c r="BS18" s="7">
        <f t="shared" si="27"/>
        <v>3.5991690000000003</v>
      </c>
      <c r="BT18" s="7">
        <f t="shared" si="28"/>
        <v>3.5443320000000003</v>
      </c>
      <c r="CU18">
        <v>22.222222219999999</v>
      </c>
      <c r="CV18">
        <v>0.42516641999999999</v>
      </c>
      <c r="CW18">
        <v>0.24124762299999999</v>
      </c>
      <c r="CX18">
        <v>0.27654884499999999</v>
      </c>
      <c r="CY18">
        <v>0.326338611</v>
      </c>
    </row>
    <row r="19" spans="68:103" x14ac:dyDescent="0.25">
      <c r="BP19" s="8">
        <v>22.222222222222221</v>
      </c>
      <c r="BQ19" s="7">
        <f t="shared" si="25"/>
        <v>3.915124</v>
      </c>
      <c r="BR19" s="7">
        <f t="shared" si="26"/>
        <v>3.5192590000000004</v>
      </c>
      <c r="BS19" s="7">
        <f t="shared" si="27"/>
        <v>3.5952409999999997</v>
      </c>
      <c r="BT19" s="7">
        <f t="shared" si="28"/>
        <v>3.7024079999999997</v>
      </c>
      <c r="CU19">
        <v>20</v>
      </c>
      <c r="CV19">
        <v>0.42149515199999998</v>
      </c>
      <c r="CW19">
        <v>0.23293760599999999</v>
      </c>
      <c r="CX19">
        <v>0.28750643100000001</v>
      </c>
      <c r="CY19">
        <v>0.32617460700000001</v>
      </c>
    </row>
    <row r="20" spans="68:103" x14ac:dyDescent="0.25">
      <c r="BP20" s="6">
        <v>20</v>
      </c>
      <c r="BQ20" s="7">
        <f t="shared" si="25"/>
        <v>3.907222</v>
      </c>
      <c r="BR20" s="7">
        <f t="shared" si="26"/>
        <v>3.5013726000000003</v>
      </c>
      <c r="BS20" s="7">
        <f t="shared" si="27"/>
        <v>3.6188259999999999</v>
      </c>
      <c r="BT20" s="7">
        <f t="shared" si="28"/>
        <v>3.7020550000000001</v>
      </c>
      <c r="CU20" t="s">
        <v>30</v>
      </c>
      <c r="CV20" t="s">
        <v>34</v>
      </c>
    </row>
    <row r="21" spans="68:103" x14ac:dyDescent="0.25">
      <c r="BP21" s="16" t="s">
        <v>30</v>
      </c>
      <c r="BQ21" s="18" t="s">
        <v>34</v>
      </c>
      <c r="BR21" s="19"/>
      <c r="BS21" s="19"/>
      <c r="BT21" s="20"/>
      <c r="CV21" t="s">
        <v>32</v>
      </c>
    </row>
    <row r="22" spans="68:103" x14ac:dyDescent="0.25">
      <c r="BP22" s="17"/>
      <c r="BQ22" s="18" t="s">
        <v>32</v>
      </c>
      <c r="BR22" s="19"/>
      <c r="BS22" s="19"/>
      <c r="BT22" s="20"/>
      <c r="CU22" t="s">
        <v>23</v>
      </c>
      <c r="CV22" t="s">
        <v>26</v>
      </c>
      <c r="CW22" t="s">
        <v>27</v>
      </c>
      <c r="CX22" t="s">
        <v>28</v>
      </c>
      <c r="CY22" t="s">
        <v>29</v>
      </c>
    </row>
    <row r="23" spans="68:103" x14ac:dyDescent="0.25">
      <c r="BP23" s="6" t="s">
        <v>23</v>
      </c>
      <c r="BQ23" s="6" t="s">
        <v>26</v>
      </c>
      <c r="BR23" s="6" t="s">
        <v>27</v>
      </c>
      <c r="BS23" s="6" t="s">
        <v>28</v>
      </c>
      <c r="BT23" s="6" t="s">
        <v>29</v>
      </c>
      <c r="CU23">
        <v>40</v>
      </c>
      <c r="CV23">
        <v>0.10103280000000001</v>
      </c>
      <c r="CW23">
        <v>0.111816626</v>
      </c>
      <c r="CX23">
        <v>0.113633675</v>
      </c>
      <c r="CY23">
        <v>0.11356537899999999</v>
      </c>
    </row>
    <row r="24" spans="68:103" x14ac:dyDescent="0.25">
      <c r="BP24" s="6">
        <v>40</v>
      </c>
      <c r="BQ24" s="7">
        <f>AK117</f>
        <v>0.21746199999999954</v>
      </c>
      <c r="BR24" s="7">
        <f t="shared" ref="BR24:BT24" si="29">AL117</f>
        <v>0.24067299999999989</v>
      </c>
      <c r="BS24" s="7">
        <f t="shared" si="29"/>
        <v>0.24458399999999966</v>
      </c>
      <c r="BT24" s="7">
        <f t="shared" si="29"/>
        <v>0.24443700000000013</v>
      </c>
      <c r="CU24">
        <v>33.333333330000002</v>
      </c>
      <c r="CV24">
        <v>0.10170860700000001</v>
      </c>
      <c r="CW24">
        <v>0.11207958899999999</v>
      </c>
      <c r="CX24">
        <v>0.11170419299999999</v>
      </c>
      <c r="CY24">
        <v>0.113976086</v>
      </c>
    </row>
    <row r="25" spans="68:103" x14ac:dyDescent="0.25">
      <c r="BP25" s="8">
        <v>33.333333333333336</v>
      </c>
      <c r="BQ25" s="7">
        <f t="shared" ref="BQ25:BQ29" si="30">AK118</f>
        <v>0.21891659999999974</v>
      </c>
      <c r="BR25" s="7">
        <f t="shared" ref="BR25:BR29" si="31">AL118</f>
        <v>0.24123899999999965</v>
      </c>
      <c r="BS25" s="7">
        <f t="shared" ref="BS25:BS29" si="32">AM118</f>
        <v>0.24043100000000034</v>
      </c>
      <c r="BT25" s="7">
        <f t="shared" ref="BT25:BT29" si="33">AN118</f>
        <v>0.24532100000000034</v>
      </c>
      <c r="CU25">
        <v>28.571428569999998</v>
      </c>
      <c r="CV25">
        <v>0.10244286</v>
      </c>
      <c r="CW25">
        <v>0.112808082</v>
      </c>
      <c r="CX25">
        <v>0.110910656</v>
      </c>
      <c r="CY25">
        <v>0.111761338</v>
      </c>
    </row>
    <row r="26" spans="68:103" x14ac:dyDescent="0.25">
      <c r="BP26" s="8">
        <v>28.571428571428573</v>
      </c>
      <c r="BQ26" s="7">
        <f t="shared" si="30"/>
        <v>0.22049700000000011</v>
      </c>
      <c r="BR26" s="7">
        <f t="shared" si="31"/>
        <v>0.24280699999999952</v>
      </c>
      <c r="BS26" s="7">
        <f t="shared" si="32"/>
        <v>0.23872299999999988</v>
      </c>
      <c r="BT26" s="7">
        <f t="shared" si="33"/>
        <v>0.24055399999999966</v>
      </c>
      <c r="CU26">
        <v>25</v>
      </c>
      <c r="CV26">
        <v>0.10210714</v>
      </c>
      <c r="CW26">
        <v>0.11238576</v>
      </c>
      <c r="CX26">
        <v>0.110104111</v>
      </c>
      <c r="CY26">
        <v>0.111598264</v>
      </c>
    </row>
    <row r="27" spans="68:103" x14ac:dyDescent="0.25">
      <c r="BP27" s="6">
        <v>25</v>
      </c>
      <c r="BQ27" s="7">
        <f t="shared" si="30"/>
        <v>0.21977440000000004</v>
      </c>
      <c r="BR27" s="7">
        <f t="shared" si="31"/>
        <v>0.24189799999999989</v>
      </c>
      <c r="BS27" s="7">
        <f t="shared" si="32"/>
        <v>0.23698700000000011</v>
      </c>
      <c r="BT27" s="7">
        <f t="shared" si="33"/>
        <v>0.24020299999999989</v>
      </c>
      <c r="CU27">
        <v>22.222222219999999</v>
      </c>
      <c r="CV27">
        <v>0.102291865</v>
      </c>
      <c r="CW27">
        <v>0.11231374700000001</v>
      </c>
      <c r="CX27">
        <v>0.110230017</v>
      </c>
      <c r="CY27">
        <v>0.10742476400000001</v>
      </c>
    </row>
    <row r="28" spans="68:103" x14ac:dyDescent="0.25">
      <c r="BP28" s="8">
        <v>22.222222222222221</v>
      </c>
      <c r="BQ28" s="7">
        <f t="shared" si="30"/>
        <v>0.22017200000000012</v>
      </c>
      <c r="BR28" s="7">
        <f t="shared" si="31"/>
        <v>0.24174300000000046</v>
      </c>
      <c r="BS28" s="7">
        <f t="shared" si="32"/>
        <v>0.23725799999999989</v>
      </c>
      <c r="BT28" s="7">
        <f t="shared" si="33"/>
        <v>0.23122000000000001</v>
      </c>
      <c r="CU28">
        <v>20</v>
      </c>
      <c r="CV28">
        <v>0.102452152</v>
      </c>
      <c r="CW28">
        <v>0.112788522</v>
      </c>
      <c r="CX28">
        <v>0.109572144</v>
      </c>
      <c r="CY28">
        <v>0.107408503</v>
      </c>
    </row>
    <row r="29" spans="68:103" x14ac:dyDescent="0.25">
      <c r="BP29" s="6">
        <v>20</v>
      </c>
      <c r="BQ29" s="7">
        <f t="shared" si="30"/>
        <v>0.22051700000000013</v>
      </c>
      <c r="BR29" s="7">
        <f t="shared" si="31"/>
        <v>0.24276489999999989</v>
      </c>
      <c r="BS29" s="7">
        <f t="shared" si="32"/>
        <v>0.23584199999999952</v>
      </c>
      <c r="BT29" s="7">
        <f t="shared" si="33"/>
        <v>0.231185</v>
      </c>
    </row>
    <row r="33" spans="1:79" x14ac:dyDescent="0.25">
      <c r="BP33" t="str">
        <f>BP3</f>
        <v>wysokość kanału</v>
      </c>
      <c r="BQ33" t="str">
        <f t="shared" ref="BQ33:BT33" si="34">BQ3</f>
        <v>ciśnienie statyczne na wlocie</v>
      </c>
      <c r="BR33">
        <f t="shared" si="34"/>
        <v>0</v>
      </c>
      <c r="BS33">
        <f t="shared" si="34"/>
        <v>0</v>
      </c>
      <c r="BT33">
        <f t="shared" si="34"/>
        <v>0</v>
      </c>
    </row>
    <row r="34" spans="1:79" x14ac:dyDescent="0.25">
      <c r="BP34">
        <f t="shared" ref="BP34:BT34" si="35">BP4</f>
        <v>0</v>
      </c>
      <c r="BQ34" t="str">
        <f t="shared" si="35"/>
        <v>[bar]</v>
      </c>
      <c r="BR34">
        <f t="shared" si="35"/>
        <v>0</v>
      </c>
      <c r="BS34">
        <f t="shared" si="35"/>
        <v>0</v>
      </c>
      <c r="BT34">
        <f t="shared" si="35"/>
        <v>0</v>
      </c>
    </row>
    <row r="35" spans="1:79" x14ac:dyDescent="0.25">
      <c r="BP35" t="str">
        <f t="shared" ref="BP35:BT35" si="36">BP5</f>
        <v>[mm]</v>
      </c>
      <c r="BQ35" t="str">
        <f t="shared" si="36"/>
        <v>0 kierownic</v>
      </c>
      <c r="BR35" t="str">
        <f t="shared" si="36"/>
        <v>1 kierownica</v>
      </c>
      <c r="BS35" t="str">
        <f t="shared" si="36"/>
        <v>2 kierownice</v>
      </c>
      <c r="BT35" t="str">
        <f t="shared" si="36"/>
        <v>3 kierownice</v>
      </c>
      <c r="BW35" t="str">
        <f>BP35</f>
        <v>[mm]</v>
      </c>
      <c r="BX35" t="str">
        <f t="shared" ref="BX35:CA35" si="37">BQ35</f>
        <v>0 kierownic</v>
      </c>
      <c r="BY35" t="str">
        <f t="shared" si="37"/>
        <v>1 kierownica</v>
      </c>
      <c r="BZ35" t="str">
        <f t="shared" si="37"/>
        <v>2 kierownice</v>
      </c>
      <c r="CA35" t="str">
        <f t="shared" si="37"/>
        <v>3 kierownice</v>
      </c>
    </row>
    <row r="36" spans="1:79" x14ac:dyDescent="0.25">
      <c r="BP36">
        <f t="shared" ref="BP36" si="38">BP6</f>
        <v>40</v>
      </c>
      <c r="BQ36" s="9">
        <f>BQ6-3</f>
        <v>0.75357400000000041</v>
      </c>
      <c r="BR36" s="9">
        <f t="shared" ref="BR36:BT36" si="39">BR6-3</f>
        <v>0.29603700000000011</v>
      </c>
      <c r="BS36" s="9">
        <f t="shared" si="39"/>
        <v>0.22768900000000025</v>
      </c>
      <c r="BT36" s="9">
        <f t="shared" si="39"/>
        <v>0.23032099999999955</v>
      </c>
      <c r="BW36">
        <f t="shared" ref="BW36:BW59" si="40">BP36</f>
        <v>40</v>
      </c>
      <c r="BX36" s="10">
        <f>BQ36/$BQ$36*100</f>
        <v>100</v>
      </c>
      <c r="BY36" s="10">
        <f t="shared" ref="BY36:CA36" si="41">BR36/$BQ$36*100</f>
        <v>39.284396754665096</v>
      </c>
      <c r="BZ36" s="10">
        <f t="shared" si="41"/>
        <v>30.214550926650887</v>
      </c>
      <c r="CA36" s="10">
        <f t="shared" si="41"/>
        <v>30.563819877012666</v>
      </c>
    </row>
    <row r="37" spans="1:79" x14ac:dyDescent="0.25">
      <c r="BP37">
        <f t="shared" ref="BP37" si="42">BP7</f>
        <v>33.333333333333336</v>
      </c>
      <c r="BQ37" s="9">
        <f t="shared" ref="BQ37:BT37" si="43">BQ7-3</f>
        <v>0.7229044</v>
      </c>
      <c r="BR37" s="9">
        <f t="shared" si="43"/>
        <v>0.28677700000000028</v>
      </c>
      <c r="BS37" s="9">
        <f t="shared" si="43"/>
        <v>0.30114799999999997</v>
      </c>
      <c r="BT37" s="9">
        <f t="shared" si="43"/>
        <v>0.21579099999999984</v>
      </c>
      <c r="BW37">
        <f t="shared" si="40"/>
        <v>33.333333333333336</v>
      </c>
      <c r="BX37" s="10">
        <f t="shared" ref="BX37:BX41" si="44">BQ37/$BQ$36*100</f>
        <v>95.930114361695018</v>
      </c>
      <c r="BY37" s="10">
        <f t="shared" ref="BY37:BY41" si="45">BR37/$BQ$36*100</f>
        <v>38.055585781887395</v>
      </c>
      <c r="BZ37" s="10">
        <f t="shared" ref="BZ37:BZ41" si="46">BS37/$BQ$36*100</f>
        <v>39.962631407134509</v>
      </c>
      <c r="CA37" s="10">
        <f t="shared" ref="CA37:CA41" si="47">BT37/$BQ$36*100</f>
        <v>28.635674797697337</v>
      </c>
    </row>
    <row r="38" spans="1:79" x14ac:dyDescent="0.25">
      <c r="BP38">
        <f t="shared" ref="BP38" si="48">BP8</f>
        <v>28.571428571428573</v>
      </c>
      <c r="BQ38" s="9">
        <f t="shared" ref="BQ38:BT38" si="49">BQ8-3</f>
        <v>0.71173099999999989</v>
      </c>
      <c r="BR38" s="9">
        <f t="shared" si="49"/>
        <v>0.27964400000000023</v>
      </c>
      <c r="BS38" s="9">
        <f t="shared" si="49"/>
        <v>0.35254299999999983</v>
      </c>
      <c r="BT38" s="9">
        <f t="shared" si="49"/>
        <v>0.31944700000000026</v>
      </c>
      <c r="BW38">
        <f t="shared" si="40"/>
        <v>28.571428571428573</v>
      </c>
      <c r="BX38" s="10">
        <f t="shared" si="44"/>
        <v>94.447393354866222</v>
      </c>
      <c r="BY38" s="10">
        <f t="shared" si="45"/>
        <v>37.109029770135393</v>
      </c>
      <c r="BZ38" s="10">
        <f t="shared" si="46"/>
        <v>46.782797707988813</v>
      </c>
      <c r="CA38" s="10">
        <f t="shared" si="47"/>
        <v>42.390926438544867</v>
      </c>
    </row>
    <row r="39" spans="1:79" x14ac:dyDescent="0.25">
      <c r="A39" t="s">
        <v>18</v>
      </c>
      <c r="BP39">
        <f t="shared" ref="BP39" si="50">BP9</f>
        <v>25</v>
      </c>
      <c r="BQ39" s="9">
        <f t="shared" ref="BQ39:BT39" si="51">BQ9-3</f>
        <v>0.70398950000000005</v>
      </c>
      <c r="BR39" s="9">
        <f t="shared" si="51"/>
        <v>0.27410500000000004</v>
      </c>
      <c r="BS39" s="9">
        <f t="shared" si="51"/>
        <v>0.36218200000000023</v>
      </c>
      <c r="BT39" s="9">
        <f t="shared" si="51"/>
        <v>0.30412900000000009</v>
      </c>
      <c r="BW39">
        <f t="shared" si="40"/>
        <v>25</v>
      </c>
      <c r="BX39" s="10">
        <f t="shared" si="44"/>
        <v>93.420088803488397</v>
      </c>
      <c r="BY39" s="10">
        <f t="shared" si="45"/>
        <v>36.373999102941433</v>
      </c>
      <c r="BZ39" s="10">
        <f t="shared" si="46"/>
        <v>48.061902348010946</v>
      </c>
      <c r="CA39" s="10">
        <f t="shared" si="47"/>
        <v>40.358212995671281</v>
      </c>
    </row>
    <row r="40" spans="1:79" x14ac:dyDescent="0.25">
      <c r="A40">
        <v>0</v>
      </c>
      <c r="B40" s="4">
        <f t="shared" ref="B40:C42" si="52">A53/100000</f>
        <v>3.6867049999999999</v>
      </c>
      <c r="C40" s="4">
        <f t="shared" si="52"/>
        <v>3.907222</v>
      </c>
      <c r="AJ40" s="14" t="s">
        <v>30</v>
      </c>
      <c r="AK40" s="15" t="s">
        <v>31</v>
      </c>
      <c r="AL40" s="15"/>
      <c r="AM40" s="15"/>
      <c r="AN40" s="15"/>
      <c r="BP40">
        <f t="shared" ref="BP40" si="53">BP10</f>
        <v>22.222222222222221</v>
      </c>
      <c r="BQ40" s="9">
        <f t="shared" ref="BQ40:BT40" si="54">BQ10-3</f>
        <v>0.69495200000000024</v>
      </c>
      <c r="BR40" s="9">
        <f t="shared" si="54"/>
        <v>0.27751599999999987</v>
      </c>
      <c r="BS40" s="9">
        <f t="shared" si="54"/>
        <v>0.35798299999999994</v>
      </c>
      <c r="BT40" s="9">
        <f t="shared" si="54"/>
        <v>0.47118799999999972</v>
      </c>
      <c r="BW40">
        <f t="shared" si="40"/>
        <v>22.222222222222221</v>
      </c>
      <c r="BX40" s="10">
        <f t="shared" si="44"/>
        <v>92.220803796309298</v>
      </c>
      <c r="BY40" s="10">
        <f t="shared" si="45"/>
        <v>36.826642108140639</v>
      </c>
      <c r="BZ40" s="10">
        <f t="shared" si="46"/>
        <v>47.504690979253496</v>
      </c>
      <c r="CA40" s="10">
        <f t="shared" si="47"/>
        <v>62.527104172914591</v>
      </c>
    </row>
    <row r="41" spans="1:79" x14ac:dyDescent="0.25">
      <c r="A41">
        <v>1</v>
      </c>
      <c r="B41" s="4">
        <f t="shared" si="52"/>
        <v>3.3981359999999996</v>
      </c>
      <c r="C41" s="4">
        <f t="shared" si="52"/>
        <v>3.6331629999999997</v>
      </c>
      <c r="Q41" t="s">
        <v>19</v>
      </c>
      <c r="AJ41" s="14"/>
      <c r="AK41" s="15" t="s">
        <v>32</v>
      </c>
      <c r="AL41" s="15"/>
      <c r="AM41" s="15"/>
      <c r="AN41" s="15"/>
      <c r="BP41">
        <f t="shared" ref="BP41" si="55">BP11</f>
        <v>20</v>
      </c>
      <c r="BQ41" s="9">
        <f t="shared" ref="BQ41:BT41" si="56">BQ11-3</f>
        <v>0.6867049999999999</v>
      </c>
      <c r="BR41" s="9">
        <f t="shared" si="56"/>
        <v>0.25860770000000022</v>
      </c>
      <c r="BS41" s="9">
        <f t="shared" si="56"/>
        <v>0.38298400000000044</v>
      </c>
      <c r="BT41" s="9">
        <f t="shared" si="56"/>
        <v>0.47087000000000012</v>
      </c>
      <c r="BW41">
        <f t="shared" si="40"/>
        <v>20</v>
      </c>
      <c r="BX41" s="10">
        <f t="shared" si="44"/>
        <v>91.126418905110782</v>
      </c>
      <c r="BY41" s="10">
        <f t="shared" si="45"/>
        <v>34.317492376329348</v>
      </c>
      <c r="BZ41" s="10">
        <f t="shared" si="46"/>
        <v>50.822347904784429</v>
      </c>
      <c r="CA41" s="10">
        <f t="shared" si="47"/>
        <v>62.48490526477822</v>
      </c>
    </row>
    <row r="42" spans="1:79" ht="15" customHeight="1" x14ac:dyDescent="0.25">
      <c r="A42">
        <v>2</v>
      </c>
      <c r="B42" s="4">
        <f t="shared" si="52"/>
        <v>3.2586077000000002</v>
      </c>
      <c r="C42" s="4">
        <f t="shared" si="52"/>
        <v>3.5013726000000003</v>
      </c>
      <c r="Q42">
        <v>0</v>
      </c>
      <c r="R42" s="4">
        <f t="shared" ref="R42:S45" si="57">Q55/100000</f>
        <v>3.6867049999999999</v>
      </c>
      <c r="S42" s="4">
        <f t="shared" si="57"/>
        <v>3.907222</v>
      </c>
      <c r="AJ42" s="6" t="s">
        <v>23</v>
      </c>
      <c r="AK42" s="6" t="s">
        <v>26</v>
      </c>
      <c r="AL42" s="6" t="s">
        <v>27</v>
      </c>
      <c r="AM42" s="6" t="s">
        <v>28</v>
      </c>
      <c r="AN42" s="6" t="s">
        <v>29</v>
      </c>
      <c r="BP42" t="str">
        <f t="shared" ref="BP42:BT42" si="58">BP12</f>
        <v>wysokość kanału</v>
      </c>
      <c r="BQ42" t="str">
        <f t="shared" si="58"/>
        <v>ciśnienie całkowite na wlocie</v>
      </c>
      <c r="BR42">
        <f t="shared" si="58"/>
        <v>0</v>
      </c>
      <c r="BS42">
        <f t="shared" si="58"/>
        <v>0</v>
      </c>
      <c r="BT42">
        <f t="shared" si="58"/>
        <v>0</v>
      </c>
      <c r="BW42" t="str">
        <f t="shared" si="40"/>
        <v>wysokość kanału</v>
      </c>
      <c r="BX42" t="str">
        <f t="shared" ref="BX42:BX53" si="59">BQ42</f>
        <v>ciśnienie całkowite na wlocie</v>
      </c>
      <c r="BY42">
        <f t="shared" ref="BY42:BY53" si="60">BR42</f>
        <v>0</v>
      </c>
      <c r="BZ42">
        <f t="shared" ref="BZ42:BZ53" si="61">BS42</f>
        <v>0</v>
      </c>
      <c r="CA42">
        <f t="shared" ref="CA42:CA53" si="62">BT42</f>
        <v>0</v>
      </c>
    </row>
    <row r="43" spans="1:79" x14ac:dyDescent="0.25">
      <c r="Q43">
        <v>1</v>
      </c>
      <c r="R43" s="4">
        <f t="shared" si="57"/>
        <v>3.7751070000000002</v>
      </c>
      <c r="S43" s="4">
        <f t="shared" si="57"/>
        <v>3.9915029999999998</v>
      </c>
      <c r="AJ43" s="6">
        <f>AK7</f>
        <v>40</v>
      </c>
      <c r="AK43" s="7">
        <f>F7/100000</f>
        <v>3.7535740000000004</v>
      </c>
      <c r="AL43" s="7">
        <f>X7/100000</f>
        <v>3.2960370000000001</v>
      </c>
      <c r="AM43" s="7">
        <f>AN7/100000</f>
        <v>3.2276890000000003</v>
      </c>
      <c r="AN43" s="7">
        <f>AZ7/100000</f>
        <v>3.2303209999999996</v>
      </c>
      <c r="BP43">
        <f t="shared" ref="BP43:BT43" si="63">BP13</f>
        <v>0</v>
      </c>
      <c r="BQ43" t="str">
        <f t="shared" si="63"/>
        <v>[bar]</v>
      </c>
      <c r="BR43">
        <f t="shared" si="63"/>
        <v>0</v>
      </c>
      <c r="BS43">
        <f t="shared" si="63"/>
        <v>0</v>
      </c>
      <c r="BT43">
        <f t="shared" si="63"/>
        <v>0</v>
      </c>
      <c r="BW43">
        <f t="shared" si="40"/>
        <v>0</v>
      </c>
      <c r="BX43" t="str">
        <f t="shared" si="59"/>
        <v>[bar]</v>
      </c>
      <c r="BY43">
        <f t="shared" si="60"/>
        <v>0</v>
      </c>
      <c r="BZ43">
        <f t="shared" si="61"/>
        <v>0</v>
      </c>
      <c r="CA43">
        <f t="shared" si="62"/>
        <v>0</v>
      </c>
    </row>
    <row r="44" spans="1:79" x14ac:dyDescent="0.25">
      <c r="Q44">
        <v>2</v>
      </c>
      <c r="R44" s="4">
        <f t="shared" si="57"/>
        <v>3.3829840000000004</v>
      </c>
      <c r="S44" s="4">
        <f t="shared" si="57"/>
        <v>3.6188259999999999</v>
      </c>
      <c r="AJ44" s="8">
        <f t="shared" ref="AJ44:AJ48" si="64">AK8</f>
        <v>33.333333333333336</v>
      </c>
      <c r="AK44" s="7">
        <f t="shared" ref="AK44:AK48" si="65">F8/100000</f>
        <v>3.7229044</v>
      </c>
      <c r="AL44" s="7">
        <f t="shared" ref="AL44:AL48" si="66">X8/100000</f>
        <v>3.2867770000000003</v>
      </c>
      <c r="AM44" s="7">
        <f t="shared" ref="AM44:AM48" si="67">AN8/100000</f>
        <v>3.301148</v>
      </c>
      <c r="AN44" s="7">
        <f t="shared" ref="AN44:AN48" si="68">AZ8/100000</f>
        <v>3.2157909999999998</v>
      </c>
      <c r="BP44" t="str">
        <f t="shared" ref="BP44:BT44" si="69">BP14</f>
        <v>[mm]</v>
      </c>
      <c r="BQ44" t="str">
        <f t="shared" si="69"/>
        <v>0 kierownic</v>
      </c>
      <c r="BR44" t="str">
        <f t="shared" si="69"/>
        <v>1 kierownica</v>
      </c>
      <c r="BS44" t="str">
        <f t="shared" si="69"/>
        <v>2 kierownice</v>
      </c>
      <c r="BT44" t="str">
        <f t="shared" si="69"/>
        <v>3 kierownice</v>
      </c>
      <c r="BW44" t="str">
        <f t="shared" si="40"/>
        <v>[mm]</v>
      </c>
      <c r="BX44" t="str">
        <f t="shared" si="59"/>
        <v>0 kierownic</v>
      </c>
      <c r="BY44" t="str">
        <f t="shared" si="60"/>
        <v>1 kierownica</v>
      </c>
      <c r="BZ44" t="str">
        <f t="shared" si="61"/>
        <v>2 kierownice</v>
      </c>
      <c r="CA44" t="str">
        <f t="shared" si="62"/>
        <v>3 kierownice</v>
      </c>
    </row>
    <row r="45" spans="1:79" x14ac:dyDescent="0.25">
      <c r="Q45">
        <v>3</v>
      </c>
      <c r="R45" s="4">
        <f t="shared" si="57"/>
        <v>3.4192140000000002</v>
      </c>
      <c r="S45" s="4">
        <f t="shared" si="57"/>
        <v>3.6531129999999998</v>
      </c>
      <c r="AJ45" s="8">
        <f t="shared" si="64"/>
        <v>28.571428571428573</v>
      </c>
      <c r="AK45" s="7">
        <f t="shared" si="65"/>
        <v>3.7117309999999999</v>
      </c>
      <c r="AL45" s="7">
        <f t="shared" si="66"/>
        <v>3.2796440000000002</v>
      </c>
      <c r="AM45" s="7">
        <f t="shared" si="67"/>
        <v>3.3525429999999998</v>
      </c>
      <c r="AN45" s="7">
        <f t="shared" si="68"/>
        <v>3.3194470000000003</v>
      </c>
      <c r="BP45">
        <f t="shared" ref="BP45" si="70">BP15</f>
        <v>40</v>
      </c>
      <c r="BQ45" s="9">
        <f>BQ15-3</f>
        <v>0.97103599999999979</v>
      </c>
      <c r="BR45" s="9">
        <f t="shared" ref="BR45:BT45" si="71">BR15-3</f>
        <v>0.5367099999999998</v>
      </c>
      <c r="BS45" s="9">
        <f t="shared" si="71"/>
        <v>0.47227299999999994</v>
      </c>
      <c r="BT45" s="9">
        <f t="shared" si="71"/>
        <v>0.47475800000000001</v>
      </c>
      <c r="BW45">
        <f t="shared" si="40"/>
        <v>40</v>
      </c>
      <c r="BX45" s="10">
        <f>BQ45/$BQ$45*100</f>
        <v>100</v>
      </c>
      <c r="BY45" s="10">
        <f t="shared" ref="BY45:CA45" si="72">BR45/$BQ$45*100</f>
        <v>55.271895171754693</v>
      </c>
      <c r="BZ45" s="10">
        <f t="shared" si="72"/>
        <v>48.635992898306554</v>
      </c>
      <c r="CA45" s="10">
        <f t="shared" si="72"/>
        <v>48.891905140489136</v>
      </c>
    </row>
    <row r="46" spans="1:79" x14ac:dyDescent="0.25">
      <c r="Q46">
        <v>4</v>
      </c>
      <c r="R46" s="4"/>
      <c r="S46" s="4"/>
      <c r="AJ46" s="6">
        <f t="shared" si="64"/>
        <v>25</v>
      </c>
      <c r="AK46" s="7">
        <f t="shared" si="65"/>
        <v>3.7039895</v>
      </c>
      <c r="AL46" s="7">
        <f t="shared" si="66"/>
        <v>3.274105</v>
      </c>
      <c r="AM46" s="7">
        <f t="shared" si="67"/>
        <v>3.3621820000000002</v>
      </c>
      <c r="AN46" s="7">
        <f t="shared" si="68"/>
        <v>3.3041290000000001</v>
      </c>
      <c r="BP46">
        <f t="shared" ref="BP46" si="73">BP16</f>
        <v>33.333333333333336</v>
      </c>
      <c r="BQ46" s="9">
        <f t="shared" ref="BQ46:BT46" si="74">BQ16-3</f>
        <v>0.94182099999999958</v>
      </c>
      <c r="BR46" s="9">
        <f t="shared" si="74"/>
        <v>0.5280159999999996</v>
      </c>
      <c r="BS46" s="9">
        <f t="shared" si="74"/>
        <v>0.54157900000000003</v>
      </c>
      <c r="BT46" s="9">
        <f t="shared" si="74"/>
        <v>0.46111199999999997</v>
      </c>
      <c r="BW46">
        <f t="shared" si="40"/>
        <v>33.333333333333336</v>
      </c>
      <c r="BX46" s="10">
        <f t="shared" ref="BX46:BX50" si="75">BQ46/$BQ$45*100</f>
        <v>96.991357683958142</v>
      </c>
      <c r="BY46" s="10">
        <f t="shared" ref="BY46:BY50" si="76">BR46/$BQ$45*100</f>
        <v>54.376562763893375</v>
      </c>
      <c r="BZ46" s="10">
        <f t="shared" ref="BZ46:BZ50" si="77">BS46/$BQ$45*100</f>
        <v>55.773318393962754</v>
      </c>
      <c r="CA46" s="10">
        <f t="shared" ref="CA46:CA50" si="78">BT46/$BQ$45*100</f>
        <v>47.486601938548112</v>
      </c>
    </row>
    <row r="47" spans="1:79" x14ac:dyDescent="0.25">
      <c r="Q47">
        <v>5</v>
      </c>
      <c r="R47" s="4"/>
      <c r="S47" s="4"/>
      <c r="AJ47" s="8">
        <f t="shared" si="64"/>
        <v>22.222222222222221</v>
      </c>
      <c r="AK47" s="7">
        <f t="shared" si="65"/>
        <v>3.6949520000000002</v>
      </c>
      <c r="AL47" s="7">
        <f t="shared" si="66"/>
        <v>3.2775159999999999</v>
      </c>
      <c r="AM47" s="7">
        <f t="shared" si="67"/>
        <v>3.3579829999999999</v>
      </c>
      <c r="AN47" s="7">
        <f t="shared" si="68"/>
        <v>3.4711879999999997</v>
      </c>
      <c r="BP47">
        <f t="shared" ref="BP47" si="79">BP17</f>
        <v>28.571428571428573</v>
      </c>
      <c r="BQ47" s="9">
        <f t="shared" ref="BQ47:BT47" si="80">BQ17-3</f>
        <v>0.93222799999999983</v>
      </c>
      <c r="BR47" s="9">
        <f t="shared" si="80"/>
        <v>0.52245099999999978</v>
      </c>
      <c r="BS47" s="9">
        <f t="shared" si="80"/>
        <v>0.59126599999999963</v>
      </c>
      <c r="BT47" s="9">
        <f t="shared" si="80"/>
        <v>0.56000099999999975</v>
      </c>
      <c r="BW47">
        <f t="shared" si="40"/>
        <v>28.571428571428573</v>
      </c>
      <c r="BX47" s="10">
        <f t="shared" si="75"/>
        <v>96.003443744619148</v>
      </c>
      <c r="BY47" s="10">
        <f t="shared" si="76"/>
        <v>53.803463517315521</v>
      </c>
      <c r="BZ47" s="10">
        <f t="shared" si="77"/>
        <v>60.890224461296981</v>
      </c>
      <c r="CA47" s="10">
        <f t="shared" si="78"/>
        <v>57.670467418303737</v>
      </c>
    </row>
    <row r="48" spans="1:79" x14ac:dyDescent="0.25">
      <c r="R48" s="4"/>
      <c r="S48" s="4"/>
      <c r="AJ48" s="6">
        <f t="shared" si="64"/>
        <v>20</v>
      </c>
      <c r="AK48" s="7">
        <f t="shared" si="65"/>
        <v>3.6867049999999999</v>
      </c>
      <c r="AL48" s="7">
        <f t="shared" si="66"/>
        <v>3.2586077000000002</v>
      </c>
      <c r="AM48" s="7">
        <f t="shared" si="67"/>
        <v>3.3829840000000004</v>
      </c>
      <c r="AN48" s="7">
        <f t="shared" si="68"/>
        <v>3.4708700000000001</v>
      </c>
      <c r="BP48">
        <f t="shared" ref="BP48" si="81">BP18</f>
        <v>25</v>
      </c>
      <c r="BQ48" s="9">
        <f t="shared" ref="BQ48:BT48" si="82">BQ18-3</f>
        <v>0.92376389999999997</v>
      </c>
      <c r="BR48" s="9">
        <f t="shared" si="82"/>
        <v>0.51600299999999999</v>
      </c>
      <c r="BS48" s="9">
        <f t="shared" si="82"/>
        <v>0.59916900000000028</v>
      </c>
      <c r="BT48" s="9">
        <f t="shared" si="82"/>
        <v>0.54433200000000026</v>
      </c>
      <c r="BW48">
        <f t="shared" si="40"/>
        <v>25</v>
      </c>
      <c r="BX48" s="10">
        <f t="shared" si="75"/>
        <v>95.131787081014522</v>
      </c>
      <c r="BY48" s="10">
        <f t="shared" si="76"/>
        <v>53.139430463958092</v>
      </c>
      <c r="BZ48" s="10">
        <f t="shared" si="77"/>
        <v>61.704097479393184</v>
      </c>
      <c r="CA48" s="10">
        <f t="shared" si="78"/>
        <v>56.056830024839485</v>
      </c>
    </row>
    <row r="49" spans="1:79" x14ac:dyDescent="0.25">
      <c r="BP49">
        <f t="shared" ref="BP49" si="83">BP19</f>
        <v>22.222222222222221</v>
      </c>
      <c r="BQ49" s="9">
        <f t="shared" ref="BQ49:BT49" si="84">BQ19-3</f>
        <v>0.91512400000000005</v>
      </c>
      <c r="BR49" s="9">
        <f t="shared" si="84"/>
        <v>0.51925900000000036</v>
      </c>
      <c r="BS49" s="9">
        <f t="shared" si="84"/>
        <v>0.59524099999999969</v>
      </c>
      <c r="BT49" s="9">
        <f t="shared" si="84"/>
        <v>0.7024079999999997</v>
      </c>
      <c r="BW49">
        <f t="shared" si="40"/>
        <v>22.222222222222221</v>
      </c>
      <c r="BX49" s="10">
        <f t="shared" si="75"/>
        <v>94.242026042288884</v>
      </c>
      <c r="BY49" s="10">
        <f t="shared" si="76"/>
        <v>53.474742440033161</v>
      </c>
      <c r="BZ49" s="10">
        <f t="shared" si="77"/>
        <v>61.299581065995476</v>
      </c>
      <c r="CA49" s="10">
        <f t="shared" si="78"/>
        <v>72.335938111460322</v>
      </c>
    </row>
    <row r="50" spans="1:79" x14ac:dyDescent="0.25">
      <c r="BP50">
        <f t="shared" ref="BP50" si="85">BP20</f>
        <v>20</v>
      </c>
      <c r="BQ50" s="9">
        <f t="shared" ref="BQ50:BT50" si="86">BQ20-3</f>
        <v>0.90722199999999997</v>
      </c>
      <c r="BR50" s="9">
        <f t="shared" si="86"/>
        <v>0.50137260000000028</v>
      </c>
      <c r="BS50" s="9">
        <f t="shared" si="86"/>
        <v>0.61882599999999988</v>
      </c>
      <c r="BT50" s="9">
        <f t="shared" si="86"/>
        <v>0.7020550000000001</v>
      </c>
      <c r="BW50">
        <f t="shared" si="40"/>
        <v>20</v>
      </c>
      <c r="BX50" s="10">
        <f t="shared" si="75"/>
        <v>93.428256006986359</v>
      </c>
      <c r="BY50" s="10">
        <f t="shared" si="76"/>
        <v>51.632750999962965</v>
      </c>
      <c r="BZ50" s="10">
        <f t="shared" si="77"/>
        <v>63.728430253873178</v>
      </c>
      <c r="CA50" s="10">
        <f t="shared" si="78"/>
        <v>72.299585185307265</v>
      </c>
    </row>
    <row r="51" spans="1:79" x14ac:dyDescent="0.25">
      <c r="BP51" t="str">
        <f t="shared" ref="BP51:BT51" si="87">BP21</f>
        <v>wysokość kanału</v>
      </c>
      <c r="BQ51" t="str">
        <f t="shared" si="87"/>
        <v>ciśnienie dynamiczne na wlocie</v>
      </c>
      <c r="BR51">
        <f t="shared" si="87"/>
        <v>0</v>
      </c>
      <c r="BS51">
        <f t="shared" si="87"/>
        <v>0</v>
      </c>
      <c r="BT51">
        <f t="shared" si="87"/>
        <v>0</v>
      </c>
      <c r="BW51" t="str">
        <f t="shared" si="40"/>
        <v>wysokość kanału</v>
      </c>
      <c r="BX51" t="str">
        <f t="shared" si="59"/>
        <v>ciśnienie dynamiczne na wlocie</v>
      </c>
      <c r="BY51">
        <f t="shared" si="60"/>
        <v>0</v>
      </c>
      <c r="BZ51">
        <f t="shared" si="61"/>
        <v>0</v>
      </c>
      <c r="CA51">
        <f t="shared" si="62"/>
        <v>0</v>
      </c>
    </row>
    <row r="52" spans="1:79" x14ac:dyDescent="0.25">
      <c r="BP52">
        <f t="shared" ref="BP52:BT52" si="88">BP22</f>
        <v>0</v>
      </c>
      <c r="BQ52" t="str">
        <f t="shared" si="88"/>
        <v>[bar]</v>
      </c>
      <c r="BR52">
        <f t="shared" si="88"/>
        <v>0</v>
      </c>
      <c r="BS52">
        <f t="shared" si="88"/>
        <v>0</v>
      </c>
      <c r="BT52">
        <f t="shared" si="88"/>
        <v>0</v>
      </c>
      <c r="BW52">
        <f t="shared" si="40"/>
        <v>0</v>
      </c>
      <c r="BX52" t="str">
        <f t="shared" si="59"/>
        <v>[bar]</v>
      </c>
      <c r="BY52">
        <f t="shared" si="60"/>
        <v>0</v>
      </c>
      <c r="BZ52">
        <f t="shared" si="61"/>
        <v>0</v>
      </c>
      <c r="CA52">
        <f t="shared" si="62"/>
        <v>0</v>
      </c>
    </row>
    <row r="53" spans="1:79" x14ac:dyDescent="0.25">
      <c r="A53">
        <v>368670.5</v>
      </c>
      <c r="B53">
        <v>390722.2</v>
      </c>
      <c r="BP53" t="str">
        <f t="shared" ref="BP53:BT53" si="89">BP23</f>
        <v>[mm]</v>
      </c>
      <c r="BQ53" t="str">
        <f t="shared" si="89"/>
        <v>0 kierownic</v>
      </c>
      <c r="BR53" t="str">
        <f t="shared" si="89"/>
        <v>1 kierownica</v>
      </c>
      <c r="BS53" t="str">
        <f t="shared" si="89"/>
        <v>2 kierownice</v>
      </c>
      <c r="BT53" t="str">
        <f t="shared" si="89"/>
        <v>3 kierownice</v>
      </c>
      <c r="BW53" t="str">
        <f t="shared" si="40"/>
        <v>[mm]</v>
      </c>
      <c r="BX53" t="str">
        <f t="shared" si="59"/>
        <v>0 kierownic</v>
      </c>
      <c r="BY53" t="str">
        <f t="shared" si="60"/>
        <v>1 kierownica</v>
      </c>
      <c r="BZ53" t="str">
        <f t="shared" si="61"/>
        <v>2 kierownice</v>
      </c>
      <c r="CA53" t="str">
        <f t="shared" si="62"/>
        <v>3 kierownice</v>
      </c>
    </row>
    <row r="54" spans="1:79" x14ac:dyDescent="0.25">
      <c r="A54">
        <v>339813.6</v>
      </c>
      <c r="B54">
        <v>363316.3</v>
      </c>
      <c r="BP54">
        <f t="shared" ref="BP54:BT54" si="90">BP24</f>
        <v>40</v>
      </c>
      <c r="BQ54">
        <f t="shared" si="90"/>
        <v>0.21746199999999954</v>
      </c>
      <c r="BR54">
        <f t="shared" si="90"/>
        <v>0.24067299999999989</v>
      </c>
      <c r="BS54">
        <f t="shared" si="90"/>
        <v>0.24458399999999966</v>
      </c>
      <c r="BT54">
        <f t="shared" si="90"/>
        <v>0.24443700000000013</v>
      </c>
      <c r="BW54">
        <f t="shared" si="40"/>
        <v>40</v>
      </c>
      <c r="BX54" s="10">
        <f>BQ54/$BQ$54*100</f>
        <v>100</v>
      </c>
      <c r="BY54" s="10">
        <f t="shared" ref="BY54:CA54" si="91">BR54/$BQ$54*100</f>
        <v>110.673588948874</v>
      </c>
      <c r="BZ54" s="10">
        <f t="shared" si="91"/>
        <v>112.47206408475972</v>
      </c>
      <c r="CA54" s="10">
        <f t="shared" si="91"/>
        <v>112.4044660676351</v>
      </c>
    </row>
    <row r="55" spans="1:79" x14ac:dyDescent="0.25">
      <c r="A55">
        <v>325860.77</v>
      </c>
      <c r="B55">
        <v>350137.26</v>
      </c>
      <c r="Q55">
        <f>A53</f>
        <v>368670.5</v>
      </c>
      <c r="R55">
        <f>B53</f>
        <v>390722.2</v>
      </c>
      <c r="BP55">
        <f t="shared" ref="BP55:BT55" si="92">BP25</f>
        <v>33.333333333333336</v>
      </c>
      <c r="BQ55">
        <f t="shared" si="92"/>
        <v>0.21891659999999974</v>
      </c>
      <c r="BR55">
        <f t="shared" si="92"/>
        <v>0.24123899999999965</v>
      </c>
      <c r="BS55">
        <f t="shared" si="92"/>
        <v>0.24043100000000034</v>
      </c>
      <c r="BT55">
        <f t="shared" si="92"/>
        <v>0.24532100000000034</v>
      </c>
      <c r="BW55">
        <f t="shared" si="40"/>
        <v>33.333333333333336</v>
      </c>
      <c r="BX55" s="10">
        <f t="shared" ref="BX55:BX59" si="93">BQ55/$BQ$54*100</f>
        <v>100.66889847421628</v>
      </c>
      <c r="BY55" s="10">
        <f t="shared" ref="BY55:BY59" si="94">BR55/$BQ$54*100</f>
        <v>110.93386430732733</v>
      </c>
      <c r="BZ55" s="10">
        <f t="shared" ref="BZ55:BZ59" si="95">BS55/$BQ$54*100</f>
        <v>110.5623051383694</v>
      </c>
      <c r="CA55" s="10">
        <f t="shared" ref="CA55:CA59" si="96">BT55/$BQ$54*100</f>
        <v>112.81097387129746</v>
      </c>
    </row>
    <row r="56" spans="1:79" x14ac:dyDescent="0.25">
      <c r="Q56">
        <v>377510.7</v>
      </c>
      <c r="R56">
        <v>399150.3</v>
      </c>
      <c r="BP56">
        <f t="shared" ref="BP56:BT56" si="97">BP26</f>
        <v>28.571428571428573</v>
      </c>
      <c r="BQ56">
        <f t="shared" si="97"/>
        <v>0.22049700000000011</v>
      </c>
      <c r="BR56">
        <f t="shared" si="97"/>
        <v>0.24280699999999952</v>
      </c>
      <c r="BS56">
        <f t="shared" si="97"/>
        <v>0.23872299999999988</v>
      </c>
      <c r="BT56">
        <f t="shared" si="97"/>
        <v>0.24055399999999966</v>
      </c>
      <c r="BW56">
        <f t="shared" si="40"/>
        <v>28.571428571428573</v>
      </c>
      <c r="BX56" s="10">
        <f t="shared" si="93"/>
        <v>101.39564613587689</v>
      </c>
      <c r="BY56" s="10">
        <f t="shared" si="94"/>
        <v>111.65490982332547</v>
      </c>
      <c r="BZ56" s="10">
        <f t="shared" si="95"/>
        <v>109.77688055844257</v>
      </c>
      <c r="CA56" s="10">
        <f t="shared" si="96"/>
        <v>110.61886674453476</v>
      </c>
    </row>
    <row r="57" spans="1:79" x14ac:dyDescent="0.25">
      <c r="Q57">
        <v>338298.4</v>
      </c>
      <c r="R57">
        <v>361882.6</v>
      </c>
      <c r="BP57">
        <f t="shared" ref="BP57:BT57" si="98">BP27</f>
        <v>25</v>
      </c>
      <c r="BQ57">
        <f t="shared" si="98"/>
        <v>0.21977440000000004</v>
      </c>
      <c r="BR57">
        <f t="shared" si="98"/>
        <v>0.24189799999999989</v>
      </c>
      <c r="BS57">
        <f t="shared" si="98"/>
        <v>0.23698700000000011</v>
      </c>
      <c r="BT57">
        <f t="shared" si="98"/>
        <v>0.24020299999999989</v>
      </c>
      <c r="BW57">
        <f t="shared" si="40"/>
        <v>25</v>
      </c>
      <c r="BX57" s="10">
        <f t="shared" si="93"/>
        <v>101.06335819591492</v>
      </c>
      <c r="BY57" s="10">
        <f t="shared" si="94"/>
        <v>111.2369057582476</v>
      </c>
      <c r="BZ57" s="10">
        <f t="shared" si="95"/>
        <v>108.97858016573039</v>
      </c>
      <c r="CA57" s="10">
        <f t="shared" si="96"/>
        <v>110.4574592342572</v>
      </c>
    </row>
    <row r="58" spans="1:79" x14ac:dyDescent="0.25">
      <c r="A58">
        <v>2000</v>
      </c>
      <c r="Q58">
        <v>341921.4</v>
      </c>
      <c r="R58">
        <v>365311.3</v>
      </c>
      <c r="BP58">
        <f t="shared" ref="BP58:BT58" si="99">BP28</f>
        <v>22.222222222222221</v>
      </c>
      <c r="BQ58">
        <f t="shared" si="99"/>
        <v>0.22017200000000012</v>
      </c>
      <c r="BR58">
        <f t="shared" si="99"/>
        <v>0.24174300000000046</v>
      </c>
      <c r="BS58">
        <f t="shared" si="99"/>
        <v>0.23725799999999989</v>
      </c>
      <c r="BT58">
        <f t="shared" si="99"/>
        <v>0.23122000000000001</v>
      </c>
      <c r="BW58">
        <f t="shared" si="40"/>
        <v>22.222222222222221</v>
      </c>
      <c r="BX58" s="10">
        <f t="shared" si="93"/>
        <v>101.24619473747165</v>
      </c>
      <c r="BY58" s="10">
        <f t="shared" si="94"/>
        <v>111.16562893746998</v>
      </c>
      <c r="BZ58" s="10">
        <f t="shared" si="95"/>
        <v>109.10319963947741</v>
      </c>
      <c r="CA58" s="10">
        <f t="shared" si="96"/>
        <v>106.32662258233646</v>
      </c>
    </row>
    <row r="59" spans="1:79" x14ac:dyDescent="0.25">
      <c r="A59" t="s">
        <v>11</v>
      </c>
      <c r="B59" t="s">
        <v>12</v>
      </c>
      <c r="BP59">
        <f t="shared" ref="BP59:BT59" si="100">BP29</f>
        <v>20</v>
      </c>
      <c r="BQ59">
        <f t="shared" si="100"/>
        <v>0.22051700000000013</v>
      </c>
      <c r="BR59">
        <f t="shared" si="100"/>
        <v>0.24276489999999989</v>
      </c>
      <c r="BS59">
        <f t="shared" si="100"/>
        <v>0.23584199999999952</v>
      </c>
      <c r="BT59">
        <f t="shared" si="100"/>
        <v>0.231185</v>
      </c>
      <c r="BW59">
        <f t="shared" si="40"/>
        <v>20</v>
      </c>
      <c r="BX59" s="10">
        <f t="shared" si="93"/>
        <v>101.40484314500951</v>
      </c>
      <c r="BY59" s="10">
        <f t="shared" si="94"/>
        <v>111.63555011910145</v>
      </c>
      <c r="BZ59" s="10">
        <f t="shared" si="95"/>
        <v>108.45205139288706</v>
      </c>
      <c r="CA59" s="10">
        <f t="shared" si="96"/>
        <v>106.31052781635435</v>
      </c>
    </row>
    <row r="60" spans="1:79" x14ac:dyDescent="0.25">
      <c r="A60" t="s">
        <v>23</v>
      </c>
      <c r="B60" t="s">
        <v>23</v>
      </c>
    </row>
    <row r="61" spans="1:79" x14ac:dyDescent="0.25">
      <c r="A61">
        <v>50</v>
      </c>
      <c r="B61">
        <f>$A$58/A61</f>
        <v>40</v>
      </c>
    </row>
    <row r="62" spans="1:79" x14ac:dyDescent="0.25">
      <c r="A62">
        <v>51</v>
      </c>
      <c r="B62">
        <f t="shared" ref="B62:B111" si="101">$A$58/A62</f>
        <v>39.215686274509807</v>
      </c>
    </row>
    <row r="63" spans="1:79" x14ac:dyDescent="0.25">
      <c r="A63">
        <v>52</v>
      </c>
      <c r="B63">
        <f t="shared" si="101"/>
        <v>38.46153846153846</v>
      </c>
      <c r="BP63" s="15" t="str">
        <f>BP3</f>
        <v>wysokość kanału</v>
      </c>
      <c r="BQ63" s="15" t="s">
        <v>535</v>
      </c>
      <c r="BR63" s="15"/>
      <c r="BS63" s="15"/>
      <c r="BT63" s="15"/>
    </row>
    <row r="64" spans="1:79" x14ac:dyDescent="0.25">
      <c r="A64">
        <v>53</v>
      </c>
      <c r="B64">
        <f t="shared" si="101"/>
        <v>37.735849056603776</v>
      </c>
      <c r="BP64" s="15"/>
      <c r="BQ64" s="15" t="s">
        <v>536</v>
      </c>
      <c r="BR64" s="15"/>
      <c r="BS64" s="15"/>
      <c r="BT64" s="15"/>
    </row>
    <row r="65" spans="1:72" x14ac:dyDescent="0.25">
      <c r="A65">
        <v>54</v>
      </c>
      <c r="B65">
        <f t="shared" si="101"/>
        <v>37.037037037037038</v>
      </c>
      <c r="BP65" s="6" t="str">
        <f t="shared" ref="BP65:BT65" si="102">BP5</f>
        <v>[mm]</v>
      </c>
      <c r="BQ65" s="6" t="str">
        <f t="shared" si="102"/>
        <v>0 kierownic</v>
      </c>
      <c r="BR65" s="6" t="str">
        <f t="shared" si="102"/>
        <v>1 kierownica</v>
      </c>
      <c r="BS65" s="6" t="str">
        <f t="shared" si="102"/>
        <v>2 kierownice</v>
      </c>
      <c r="BT65" s="6" t="str">
        <f t="shared" si="102"/>
        <v>3 kierownice</v>
      </c>
    </row>
    <row r="66" spans="1:72" x14ac:dyDescent="0.25">
      <c r="A66">
        <v>55</v>
      </c>
      <c r="B66">
        <f t="shared" si="101"/>
        <v>36.363636363636367</v>
      </c>
      <c r="BP66" s="6">
        <f t="shared" ref="BP66:BT66" si="103">BP6</f>
        <v>40</v>
      </c>
      <c r="BQ66" s="6" t="s">
        <v>542</v>
      </c>
      <c r="BR66" s="6" t="s">
        <v>548</v>
      </c>
      <c r="BS66" s="6" t="s">
        <v>554</v>
      </c>
      <c r="BT66" s="6">
        <f t="shared" si="103"/>
        <v>3.2303209999999996</v>
      </c>
    </row>
    <row r="67" spans="1:72" x14ac:dyDescent="0.25">
      <c r="A67">
        <v>56</v>
      </c>
      <c r="B67">
        <f t="shared" si="101"/>
        <v>35.714285714285715</v>
      </c>
      <c r="BP67" s="6">
        <f t="shared" ref="BP67:BT67" si="104">BP7</f>
        <v>33.333333333333336</v>
      </c>
      <c r="BQ67" s="6" t="s">
        <v>541</v>
      </c>
      <c r="BR67" s="6" t="s">
        <v>547</v>
      </c>
      <c r="BS67" s="6" t="s">
        <v>553</v>
      </c>
      <c r="BT67" s="6">
        <f t="shared" si="104"/>
        <v>3.2157909999999998</v>
      </c>
    </row>
    <row r="68" spans="1:72" x14ac:dyDescent="0.25">
      <c r="A68">
        <v>57</v>
      </c>
      <c r="B68">
        <f t="shared" si="101"/>
        <v>35.087719298245617</v>
      </c>
      <c r="BP68" s="6">
        <f t="shared" ref="BP68:BT68" si="105">BP8</f>
        <v>28.571428571428573</v>
      </c>
      <c r="BQ68" s="6" t="s">
        <v>540</v>
      </c>
      <c r="BR68" s="6" t="s">
        <v>546</v>
      </c>
      <c r="BS68" s="6" t="s">
        <v>552</v>
      </c>
      <c r="BT68" s="6">
        <f t="shared" si="105"/>
        <v>3.3194470000000003</v>
      </c>
    </row>
    <row r="69" spans="1:72" x14ac:dyDescent="0.25">
      <c r="A69">
        <v>58</v>
      </c>
      <c r="B69">
        <f t="shared" si="101"/>
        <v>34.482758620689658</v>
      </c>
      <c r="BP69" s="6">
        <f t="shared" ref="BP69:BT69" si="106">BP9</f>
        <v>25</v>
      </c>
      <c r="BQ69" s="6" t="s">
        <v>539</v>
      </c>
      <c r="BR69" s="6" t="s">
        <v>545</v>
      </c>
      <c r="BS69" s="6" t="s">
        <v>551</v>
      </c>
      <c r="BT69" s="6">
        <f t="shared" si="106"/>
        <v>3.3041290000000001</v>
      </c>
    </row>
    <row r="70" spans="1:72" x14ac:dyDescent="0.25">
      <c r="A70">
        <v>59</v>
      </c>
      <c r="B70">
        <f t="shared" si="101"/>
        <v>33.898305084745765</v>
      </c>
      <c r="BP70" s="6">
        <f t="shared" ref="BP70:BT70" si="107">BP10</f>
        <v>22.222222222222221</v>
      </c>
      <c r="BQ70" s="6" t="s">
        <v>538</v>
      </c>
      <c r="BR70" s="6" t="s">
        <v>544</v>
      </c>
      <c r="BS70" s="6" t="s">
        <v>550</v>
      </c>
      <c r="BT70" s="6">
        <f t="shared" si="107"/>
        <v>3.4711879999999997</v>
      </c>
    </row>
    <row r="71" spans="1:72" x14ac:dyDescent="0.25">
      <c r="A71">
        <v>60</v>
      </c>
      <c r="B71">
        <f t="shared" si="101"/>
        <v>33.333333333333336</v>
      </c>
      <c r="BP71" s="6">
        <f t="shared" ref="BP71:BT71" si="108">BP11</f>
        <v>20</v>
      </c>
      <c r="BQ71" s="6" t="s">
        <v>537</v>
      </c>
      <c r="BR71" s="6" t="s">
        <v>543</v>
      </c>
      <c r="BS71" s="6" t="s">
        <v>549</v>
      </c>
      <c r="BT71" s="6">
        <f t="shared" si="108"/>
        <v>3.4708700000000001</v>
      </c>
    </row>
    <row r="72" spans="1:72" x14ac:dyDescent="0.25">
      <c r="A72">
        <v>61</v>
      </c>
      <c r="B72">
        <f t="shared" si="101"/>
        <v>32.786885245901637</v>
      </c>
    </row>
    <row r="73" spans="1:72" x14ac:dyDescent="0.25">
      <c r="A73">
        <v>62</v>
      </c>
      <c r="B73">
        <f t="shared" si="101"/>
        <v>32.258064516129032</v>
      </c>
    </row>
    <row r="74" spans="1:72" x14ac:dyDescent="0.25">
      <c r="A74">
        <v>63</v>
      </c>
      <c r="B74">
        <f t="shared" si="101"/>
        <v>31.746031746031747</v>
      </c>
    </row>
    <row r="75" spans="1:72" x14ac:dyDescent="0.25">
      <c r="A75">
        <v>64</v>
      </c>
      <c r="B75">
        <f t="shared" si="101"/>
        <v>31.25</v>
      </c>
    </row>
    <row r="76" spans="1:72" x14ac:dyDescent="0.25">
      <c r="A76">
        <v>65</v>
      </c>
      <c r="B76">
        <f t="shared" si="101"/>
        <v>30.76923076923077</v>
      </c>
    </row>
    <row r="77" spans="1:72" x14ac:dyDescent="0.25">
      <c r="A77">
        <v>66</v>
      </c>
      <c r="B77">
        <f t="shared" si="101"/>
        <v>30.303030303030305</v>
      </c>
      <c r="AJ77" s="14" t="s">
        <v>30</v>
      </c>
      <c r="AK77" s="15" t="s">
        <v>33</v>
      </c>
      <c r="AL77" s="15"/>
      <c r="AM77" s="15"/>
      <c r="AN77" s="15"/>
    </row>
    <row r="78" spans="1:72" x14ac:dyDescent="0.25">
      <c r="A78">
        <v>67</v>
      </c>
      <c r="B78">
        <f t="shared" si="101"/>
        <v>29.850746268656717</v>
      </c>
      <c r="AJ78" s="14"/>
      <c r="AK78" s="15" t="s">
        <v>32</v>
      </c>
      <c r="AL78" s="15"/>
      <c r="AM78" s="15"/>
      <c r="AN78" s="15"/>
    </row>
    <row r="79" spans="1:72" ht="15" customHeight="1" x14ac:dyDescent="0.25">
      <c r="A79">
        <v>68</v>
      </c>
      <c r="B79">
        <f t="shared" si="101"/>
        <v>29.411764705882351</v>
      </c>
      <c r="AJ79" s="6" t="s">
        <v>23</v>
      </c>
      <c r="AK79" s="6" t="s">
        <v>26</v>
      </c>
      <c r="AL79" s="6" t="s">
        <v>27</v>
      </c>
      <c r="AM79" s="6" t="s">
        <v>28</v>
      </c>
      <c r="AN79" s="6" t="s">
        <v>29</v>
      </c>
    </row>
    <row r="80" spans="1:72" x14ac:dyDescent="0.25">
      <c r="A80">
        <v>69</v>
      </c>
      <c r="B80">
        <f t="shared" si="101"/>
        <v>28.985507246376812</v>
      </c>
      <c r="AJ80" s="6">
        <f t="shared" ref="AJ80:AJ85" si="109">AJ43</f>
        <v>40</v>
      </c>
      <c r="AK80" s="7">
        <f t="shared" ref="AK80:AK85" si="110">G7/100000</f>
        <v>3.9710359999999998</v>
      </c>
      <c r="AL80" s="7">
        <f t="shared" ref="AL80:AL85" si="111">Y7/100000</f>
        <v>3.5367099999999998</v>
      </c>
      <c r="AM80" s="7">
        <f t="shared" ref="AM80:AM85" si="112">AO7/100000</f>
        <v>3.4722729999999999</v>
      </c>
      <c r="AN80" s="7">
        <f>BA7/100000</f>
        <v>3.474758</v>
      </c>
    </row>
    <row r="81" spans="1:40" x14ac:dyDescent="0.25">
      <c r="A81">
        <v>70</v>
      </c>
      <c r="B81">
        <f t="shared" si="101"/>
        <v>28.571428571428573</v>
      </c>
      <c r="AJ81" s="8">
        <f t="shared" si="109"/>
        <v>33.333333333333336</v>
      </c>
      <c r="AK81" s="7">
        <f t="shared" si="110"/>
        <v>3.9418209999999996</v>
      </c>
      <c r="AL81" s="7">
        <f t="shared" si="111"/>
        <v>3.5280159999999996</v>
      </c>
      <c r="AM81" s="7">
        <f t="shared" si="112"/>
        <v>3.541579</v>
      </c>
      <c r="AN81" s="7">
        <f>BA8/100000</f>
        <v>3.461112</v>
      </c>
    </row>
    <row r="82" spans="1:40" x14ac:dyDescent="0.25">
      <c r="A82">
        <v>71</v>
      </c>
      <c r="B82">
        <f t="shared" si="101"/>
        <v>28.169014084507044</v>
      </c>
      <c r="AJ82" s="8">
        <f t="shared" si="109"/>
        <v>28.571428571428573</v>
      </c>
      <c r="AK82" s="7">
        <f t="shared" si="110"/>
        <v>3.9322279999999998</v>
      </c>
      <c r="AL82" s="7">
        <f t="shared" si="111"/>
        <v>3.5224509999999998</v>
      </c>
      <c r="AM82" s="7">
        <f t="shared" si="112"/>
        <v>3.5912659999999996</v>
      </c>
      <c r="AN82" s="7">
        <f t="shared" ref="AN82:AN85" si="113">BA9/100000</f>
        <v>3.5600009999999997</v>
      </c>
    </row>
    <row r="83" spans="1:40" x14ac:dyDescent="0.25">
      <c r="A83">
        <v>72</v>
      </c>
      <c r="B83">
        <f t="shared" si="101"/>
        <v>27.777777777777779</v>
      </c>
      <c r="AJ83" s="6">
        <f t="shared" si="109"/>
        <v>25</v>
      </c>
      <c r="AK83" s="7">
        <f t="shared" si="110"/>
        <v>3.9237639</v>
      </c>
      <c r="AL83" s="7">
        <f t="shared" si="111"/>
        <v>3.516003</v>
      </c>
      <c r="AM83" s="7">
        <f t="shared" si="112"/>
        <v>3.5991690000000003</v>
      </c>
      <c r="AN83" s="7">
        <f t="shared" si="113"/>
        <v>3.5443320000000003</v>
      </c>
    </row>
    <row r="84" spans="1:40" x14ac:dyDescent="0.25">
      <c r="A84">
        <v>73</v>
      </c>
      <c r="B84">
        <f t="shared" si="101"/>
        <v>27.397260273972602</v>
      </c>
      <c r="AJ84" s="8">
        <f t="shared" si="109"/>
        <v>22.222222222222221</v>
      </c>
      <c r="AK84" s="7">
        <f t="shared" si="110"/>
        <v>3.915124</v>
      </c>
      <c r="AL84" s="7">
        <f t="shared" si="111"/>
        <v>3.5192590000000004</v>
      </c>
      <c r="AM84" s="7">
        <f t="shared" si="112"/>
        <v>3.5952409999999997</v>
      </c>
      <c r="AN84" s="7">
        <f t="shared" si="113"/>
        <v>3.7024079999999997</v>
      </c>
    </row>
    <row r="85" spans="1:40" x14ac:dyDescent="0.25">
      <c r="A85">
        <v>74</v>
      </c>
      <c r="B85">
        <f t="shared" si="101"/>
        <v>27.027027027027028</v>
      </c>
      <c r="AJ85" s="6">
        <f t="shared" si="109"/>
        <v>20</v>
      </c>
      <c r="AK85" s="7">
        <f t="shared" si="110"/>
        <v>3.907222</v>
      </c>
      <c r="AL85" s="7">
        <f t="shared" si="111"/>
        <v>3.5013726000000003</v>
      </c>
      <c r="AM85" s="7">
        <f t="shared" si="112"/>
        <v>3.6188259999999999</v>
      </c>
      <c r="AN85" s="7">
        <f t="shared" si="113"/>
        <v>3.7020550000000001</v>
      </c>
    </row>
    <row r="86" spans="1:40" x14ac:dyDescent="0.25">
      <c r="A86">
        <v>75</v>
      </c>
      <c r="B86">
        <f t="shared" si="101"/>
        <v>26.666666666666668</v>
      </c>
    </row>
    <row r="87" spans="1:40" x14ac:dyDescent="0.25">
      <c r="A87">
        <v>76</v>
      </c>
      <c r="B87">
        <f t="shared" si="101"/>
        <v>26.315789473684209</v>
      </c>
    </row>
    <row r="88" spans="1:40" x14ac:dyDescent="0.25">
      <c r="A88">
        <v>77</v>
      </c>
      <c r="B88">
        <f t="shared" si="101"/>
        <v>25.974025974025974</v>
      </c>
    </row>
    <row r="89" spans="1:40" x14ac:dyDescent="0.25">
      <c r="A89">
        <v>78</v>
      </c>
      <c r="B89">
        <f t="shared" si="101"/>
        <v>25.641025641025642</v>
      </c>
    </row>
    <row r="90" spans="1:40" x14ac:dyDescent="0.25">
      <c r="A90">
        <v>79</v>
      </c>
      <c r="B90">
        <f t="shared" si="101"/>
        <v>25.316455696202532</v>
      </c>
    </row>
    <row r="91" spans="1:40" x14ac:dyDescent="0.25">
      <c r="A91">
        <v>80</v>
      </c>
      <c r="B91">
        <f t="shared" si="101"/>
        <v>25</v>
      </c>
    </row>
    <row r="92" spans="1:40" x14ac:dyDescent="0.25">
      <c r="A92">
        <v>81</v>
      </c>
      <c r="B92">
        <f t="shared" si="101"/>
        <v>24.691358024691358</v>
      </c>
    </row>
    <row r="93" spans="1:40" x14ac:dyDescent="0.25">
      <c r="A93">
        <v>82</v>
      </c>
      <c r="B93">
        <f t="shared" si="101"/>
        <v>24.390243902439025</v>
      </c>
    </row>
    <row r="94" spans="1:40" x14ac:dyDescent="0.25">
      <c r="A94">
        <v>83</v>
      </c>
      <c r="B94">
        <f t="shared" si="101"/>
        <v>24.096385542168676</v>
      </c>
    </row>
    <row r="95" spans="1:40" x14ac:dyDescent="0.25">
      <c r="A95">
        <v>84</v>
      </c>
      <c r="B95">
        <f t="shared" si="101"/>
        <v>23.80952380952381</v>
      </c>
    </row>
    <row r="96" spans="1:40" x14ac:dyDescent="0.25">
      <c r="A96">
        <v>85</v>
      </c>
      <c r="B96">
        <f t="shared" si="101"/>
        <v>23.529411764705884</v>
      </c>
    </row>
    <row r="97" spans="1:2" x14ac:dyDescent="0.25">
      <c r="A97">
        <v>86</v>
      </c>
      <c r="B97">
        <f t="shared" si="101"/>
        <v>23.255813953488371</v>
      </c>
    </row>
    <row r="98" spans="1:2" x14ac:dyDescent="0.25">
      <c r="A98">
        <v>87</v>
      </c>
      <c r="B98">
        <f t="shared" si="101"/>
        <v>22.988505747126435</v>
      </c>
    </row>
    <row r="99" spans="1:2" x14ac:dyDescent="0.25">
      <c r="A99">
        <v>88</v>
      </c>
      <c r="B99">
        <f t="shared" si="101"/>
        <v>22.727272727272727</v>
      </c>
    </row>
    <row r="100" spans="1:2" x14ac:dyDescent="0.25">
      <c r="A100">
        <v>89</v>
      </c>
      <c r="B100">
        <f t="shared" si="101"/>
        <v>22.471910112359552</v>
      </c>
    </row>
    <row r="101" spans="1:2" x14ac:dyDescent="0.25">
      <c r="A101">
        <v>90</v>
      </c>
      <c r="B101">
        <f t="shared" si="101"/>
        <v>22.222222222222221</v>
      </c>
    </row>
    <row r="102" spans="1:2" x14ac:dyDescent="0.25">
      <c r="A102">
        <v>91</v>
      </c>
      <c r="B102">
        <f t="shared" si="101"/>
        <v>21.978021978021978</v>
      </c>
    </row>
    <row r="103" spans="1:2" x14ac:dyDescent="0.25">
      <c r="A103">
        <v>92</v>
      </c>
      <c r="B103">
        <f t="shared" si="101"/>
        <v>21.739130434782609</v>
      </c>
    </row>
    <row r="104" spans="1:2" x14ac:dyDescent="0.25">
      <c r="A104">
        <v>93</v>
      </c>
      <c r="B104">
        <f t="shared" si="101"/>
        <v>21.50537634408602</v>
      </c>
    </row>
    <row r="105" spans="1:2" x14ac:dyDescent="0.25">
      <c r="A105">
        <v>94</v>
      </c>
      <c r="B105">
        <f t="shared" si="101"/>
        <v>21.276595744680851</v>
      </c>
    </row>
    <row r="106" spans="1:2" x14ac:dyDescent="0.25">
      <c r="A106">
        <v>95</v>
      </c>
      <c r="B106">
        <f t="shared" si="101"/>
        <v>21.05263157894737</v>
      </c>
    </row>
    <row r="107" spans="1:2" x14ac:dyDescent="0.25">
      <c r="A107">
        <v>96</v>
      </c>
      <c r="B107">
        <f t="shared" si="101"/>
        <v>20.833333333333332</v>
      </c>
    </row>
    <row r="108" spans="1:2" x14ac:dyDescent="0.25">
      <c r="A108">
        <v>97</v>
      </c>
      <c r="B108">
        <f t="shared" si="101"/>
        <v>20.618556701030929</v>
      </c>
    </row>
    <row r="109" spans="1:2" x14ac:dyDescent="0.25">
      <c r="A109">
        <v>98</v>
      </c>
      <c r="B109">
        <f t="shared" si="101"/>
        <v>20.408163265306122</v>
      </c>
    </row>
    <row r="110" spans="1:2" x14ac:dyDescent="0.25">
      <c r="A110">
        <v>99</v>
      </c>
      <c r="B110">
        <f t="shared" si="101"/>
        <v>20.202020202020201</v>
      </c>
    </row>
    <row r="111" spans="1:2" x14ac:dyDescent="0.25">
      <c r="A111">
        <v>100</v>
      </c>
      <c r="B111">
        <f t="shared" si="101"/>
        <v>20</v>
      </c>
    </row>
    <row r="114" spans="36:40" ht="15" customHeight="1" x14ac:dyDescent="0.25">
      <c r="AJ114" s="16" t="s">
        <v>30</v>
      </c>
      <c r="AK114" s="18" t="s">
        <v>34</v>
      </c>
      <c r="AL114" s="19"/>
      <c r="AM114" s="19"/>
      <c r="AN114" s="20"/>
    </row>
    <row r="115" spans="36:40" x14ac:dyDescent="0.25">
      <c r="AJ115" s="17"/>
      <c r="AK115" s="18" t="s">
        <v>32</v>
      </c>
      <c r="AL115" s="19"/>
      <c r="AM115" s="19"/>
      <c r="AN115" s="20"/>
    </row>
    <row r="116" spans="36:40" x14ac:dyDescent="0.25">
      <c r="AJ116" s="6" t="s">
        <v>23</v>
      </c>
      <c r="AK116" s="6" t="s">
        <v>26</v>
      </c>
      <c r="AL116" s="6" t="s">
        <v>27</v>
      </c>
      <c r="AM116" s="6" t="s">
        <v>28</v>
      </c>
      <c r="AN116" s="6" t="s">
        <v>29</v>
      </c>
    </row>
    <row r="117" spans="36:40" x14ac:dyDescent="0.25">
      <c r="AJ117" s="6">
        <f>AJ80</f>
        <v>40</v>
      </c>
      <c r="AK117" s="7">
        <f>J7/100000</f>
        <v>0.21746199999999954</v>
      </c>
      <c r="AL117" s="7">
        <f t="shared" ref="AL117:AL122" si="114">AB7/100000</f>
        <v>0.24067299999999989</v>
      </c>
      <c r="AM117" s="7">
        <f t="shared" ref="AM117:AM122" si="115">AR7/100000</f>
        <v>0.24458399999999966</v>
      </c>
      <c r="AN117" s="7">
        <f>BD7/100000</f>
        <v>0.24443700000000013</v>
      </c>
    </row>
    <row r="118" spans="36:40" x14ac:dyDescent="0.25">
      <c r="AJ118" s="8">
        <f t="shared" ref="AJ118:AJ122" si="116">AJ81</f>
        <v>33.333333333333336</v>
      </c>
      <c r="AK118" s="7">
        <f t="shared" ref="AK118:AK122" si="117">J8/100000</f>
        <v>0.21891659999999974</v>
      </c>
      <c r="AL118" s="7">
        <f t="shared" si="114"/>
        <v>0.24123899999999965</v>
      </c>
      <c r="AM118" s="7">
        <f t="shared" si="115"/>
        <v>0.24043100000000034</v>
      </c>
      <c r="AN118" s="7">
        <f>BD8/100000</f>
        <v>0.24532100000000034</v>
      </c>
    </row>
    <row r="119" spans="36:40" x14ac:dyDescent="0.25">
      <c r="AJ119" s="8">
        <f t="shared" si="116"/>
        <v>28.571428571428573</v>
      </c>
      <c r="AK119" s="7">
        <f t="shared" si="117"/>
        <v>0.22049700000000011</v>
      </c>
      <c r="AL119" s="7">
        <f t="shared" si="114"/>
        <v>0.24280699999999952</v>
      </c>
      <c r="AM119" s="7">
        <f t="shared" si="115"/>
        <v>0.23872299999999988</v>
      </c>
      <c r="AN119" s="7">
        <f t="shared" ref="AN119:AN122" si="118">BD9/100000</f>
        <v>0.24055399999999966</v>
      </c>
    </row>
    <row r="120" spans="36:40" x14ac:dyDescent="0.25">
      <c r="AJ120" s="6">
        <f t="shared" si="116"/>
        <v>25</v>
      </c>
      <c r="AK120" s="7">
        <f t="shared" si="117"/>
        <v>0.21977440000000004</v>
      </c>
      <c r="AL120" s="7">
        <f t="shared" si="114"/>
        <v>0.24189799999999989</v>
      </c>
      <c r="AM120" s="7">
        <f t="shared" si="115"/>
        <v>0.23698700000000011</v>
      </c>
      <c r="AN120" s="7">
        <f t="shared" si="118"/>
        <v>0.24020299999999989</v>
      </c>
    </row>
    <row r="121" spans="36:40" x14ac:dyDescent="0.25">
      <c r="AJ121" s="8">
        <f t="shared" si="116"/>
        <v>22.222222222222221</v>
      </c>
      <c r="AK121" s="7">
        <f t="shared" si="117"/>
        <v>0.22017200000000012</v>
      </c>
      <c r="AL121" s="7">
        <f t="shared" si="114"/>
        <v>0.24174300000000046</v>
      </c>
      <c r="AM121" s="7">
        <f t="shared" si="115"/>
        <v>0.23725799999999989</v>
      </c>
      <c r="AN121" s="7">
        <f t="shared" si="118"/>
        <v>0.23122000000000001</v>
      </c>
    </row>
    <row r="122" spans="36:40" x14ac:dyDescent="0.25">
      <c r="AJ122" s="6">
        <f t="shared" si="116"/>
        <v>20</v>
      </c>
      <c r="AK122" s="7">
        <f t="shared" si="117"/>
        <v>0.22051700000000013</v>
      </c>
      <c r="AL122" s="7">
        <f t="shared" si="114"/>
        <v>0.24276489999999989</v>
      </c>
      <c r="AM122" s="7">
        <f t="shared" si="115"/>
        <v>0.23584199999999952</v>
      </c>
      <c r="AN122" s="7">
        <f t="shared" si="118"/>
        <v>0.231185</v>
      </c>
    </row>
  </sheetData>
  <mergeCells count="32">
    <mergeCell ref="BQ64:BT64"/>
    <mergeCell ref="BP63:BP64"/>
    <mergeCell ref="BZ1:BZ2"/>
    <mergeCell ref="CA1:CB1"/>
    <mergeCell ref="BP3:BP4"/>
    <mergeCell ref="BQ3:BT3"/>
    <mergeCell ref="BQ4:BT4"/>
    <mergeCell ref="BP12:BP13"/>
    <mergeCell ref="BQ12:BT12"/>
    <mergeCell ref="BQ13:BT13"/>
    <mergeCell ref="AJ114:AJ115"/>
    <mergeCell ref="AK114:AN114"/>
    <mergeCell ref="AK115:AN115"/>
    <mergeCell ref="BP21:BP22"/>
    <mergeCell ref="BQ21:BT21"/>
    <mergeCell ref="BQ22:BT22"/>
    <mergeCell ref="AK40:AN40"/>
    <mergeCell ref="AK41:AN41"/>
    <mergeCell ref="AJ40:AJ41"/>
    <mergeCell ref="AJ77:AJ78"/>
    <mergeCell ref="AK77:AN77"/>
    <mergeCell ref="AK78:AN78"/>
    <mergeCell ref="BQ63:BT63"/>
    <mergeCell ref="AX4:AY4"/>
    <mergeCell ref="AZ4:BA4"/>
    <mergeCell ref="AN4:AO4"/>
    <mergeCell ref="A1:B1"/>
    <mergeCell ref="D4:E4"/>
    <mergeCell ref="F4:G4"/>
    <mergeCell ref="V4:W4"/>
    <mergeCell ref="X4:Y4"/>
    <mergeCell ref="AL4:AM4"/>
  </mergeCells>
  <phoneticPr fontId="14" type="noConversion"/>
  <pageMargins left="0" right="0" top="0.39370078740157477" bottom="0.39370078740157477" header="0" footer="0"/>
  <pageSetup paperSize="0" fitToWidth="0" fitToHeight="0" pageOrder="overThenDown" horizontalDpi="0" verticalDpi="0" copies="0"/>
  <headerFooter>
    <oddHeader>&amp;C&amp;A</oddHeader>
    <oddFooter>&amp;CStrona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8D6CA-51BF-4104-AAB6-204F52DC78A9}">
  <dimension ref="B3:GV790"/>
  <sheetViews>
    <sheetView zoomScale="160" zoomScaleNormal="160" workbookViewId="0">
      <selection activeCell="B4" sqref="B4"/>
    </sheetView>
  </sheetViews>
  <sheetFormatPr defaultRowHeight="15" x14ac:dyDescent="0.25"/>
  <cols>
    <col min="11" max="11" width="19" customWidth="1"/>
    <col min="13" max="13" width="18.85546875" customWidth="1"/>
    <col min="18" max="18" width="12" customWidth="1"/>
    <col min="20" max="20" width="16.5703125" customWidth="1"/>
  </cols>
  <sheetData>
    <row r="3" spans="2:204" x14ac:dyDescent="0.25">
      <c r="F3" t="s">
        <v>41</v>
      </c>
      <c r="G3" t="s">
        <v>42</v>
      </c>
    </row>
    <row r="4" spans="2:204" x14ac:dyDescent="0.25">
      <c r="B4">
        <v>0.29999969999999998</v>
      </c>
      <c r="C4">
        <v>5.6804070000000004E-4</v>
      </c>
      <c r="D4">
        <f>B4-$B$4</f>
        <v>0</v>
      </c>
      <c r="F4">
        <v>0</v>
      </c>
      <c r="G4">
        <v>5.6804070000000004E-4</v>
      </c>
      <c r="J4">
        <v>5.6804070000000004E-4</v>
      </c>
      <c r="K4">
        <v>2.272658E-2</v>
      </c>
      <c r="L4">
        <v>6.8270990000000004E-2</v>
      </c>
      <c r="M4">
        <v>0.1186316</v>
      </c>
      <c r="N4">
        <v>0.15856919999999999</v>
      </c>
      <c r="O4">
        <v>0.186692</v>
      </c>
      <c r="P4">
        <v>0.2154237</v>
      </c>
      <c r="Q4">
        <v>0.240842</v>
      </c>
      <c r="R4">
        <v>0.26096029999999998</v>
      </c>
      <c r="S4">
        <v>0.27938960000000002</v>
      </c>
      <c r="T4">
        <v>0.30348579999999997</v>
      </c>
      <c r="U4">
        <v>0.32936149999999997</v>
      </c>
      <c r="V4">
        <v>0.35151660000000001</v>
      </c>
      <c r="W4">
        <v>0.36580380000000001</v>
      </c>
      <c r="X4">
        <v>0.37846590000000002</v>
      </c>
      <c r="Y4">
        <v>0.39053169999999998</v>
      </c>
      <c r="Z4">
        <v>0.39853329999999998</v>
      </c>
      <c r="AA4">
        <v>0.3973293</v>
      </c>
      <c r="AB4">
        <v>0.38896459999999999</v>
      </c>
      <c r="AC4">
        <v>0.36676110000000001</v>
      </c>
      <c r="AD4">
        <v>0.33451740000000002</v>
      </c>
      <c r="AE4">
        <v>0.29596600000000001</v>
      </c>
      <c r="AF4">
        <v>0.25391350000000001</v>
      </c>
      <c r="AG4">
        <v>0.21040929999999999</v>
      </c>
      <c r="AH4">
        <v>0.1718469</v>
      </c>
      <c r="AI4">
        <v>0.12640979999999999</v>
      </c>
      <c r="AJ4">
        <v>7.373412E-2</v>
      </c>
      <c r="AK4">
        <v>2.484983E-2</v>
      </c>
      <c r="AL4">
        <v>-2.35169E-3</v>
      </c>
      <c r="AM4">
        <v>-3.489153E-3</v>
      </c>
      <c r="AN4">
        <v>-2.9673540000000002E-3</v>
      </c>
      <c r="AO4">
        <v>-2.5077150000000002E-3</v>
      </c>
      <c r="AP4">
        <v>-2.2809969999999999E-3</v>
      </c>
      <c r="AQ4">
        <v>-1.5643059999999999E-3</v>
      </c>
      <c r="AR4">
        <v>2.4925899999999999E-4</v>
      </c>
      <c r="AS4">
        <v>1.1998200000000001E-3</v>
      </c>
      <c r="AT4">
        <v>1.2263829999999999E-3</v>
      </c>
      <c r="AU4">
        <v>9.0500599999999997E-4</v>
      </c>
      <c r="AV4">
        <v>6.5506289999999997E-4</v>
      </c>
      <c r="AW4">
        <v>5.2454970000000004E-4</v>
      </c>
      <c r="AX4">
        <v>4.6247770000000001E-4</v>
      </c>
      <c r="AY4">
        <v>4.1488309999999999E-4</v>
      </c>
      <c r="AZ4">
        <v>4.1832149999999999E-4</v>
      </c>
      <c r="BA4">
        <v>5.3416110000000004E-4</v>
      </c>
      <c r="BB4">
        <v>8.3847399999999997E-4</v>
      </c>
      <c r="BC4">
        <v>1.441419E-3</v>
      </c>
      <c r="BD4">
        <v>2.4545499999999998E-3</v>
      </c>
      <c r="BE4">
        <v>2.7009310000000002E-3</v>
      </c>
      <c r="BF4">
        <v>2.1317300000000001E-3</v>
      </c>
      <c r="BG4">
        <v>1.3621600000000001E-3</v>
      </c>
      <c r="BH4">
        <v>5.9103080000000004E-4</v>
      </c>
      <c r="BI4">
        <v>-2.2742079999999999E-4</v>
      </c>
      <c r="BJ4">
        <v>-7.4843860000000002E-4</v>
      </c>
      <c r="BK4">
        <v>-1.185356E-3</v>
      </c>
      <c r="BL4">
        <v>-1.686019E-3</v>
      </c>
      <c r="BM4">
        <v>-1.700883E-3</v>
      </c>
      <c r="BN4">
        <v>-1.29729E-3</v>
      </c>
      <c r="BO4">
        <v>-7.2222140000000002E-4</v>
      </c>
      <c r="BP4">
        <v>-1.044077E-4</v>
      </c>
      <c r="BQ4">
        <v>4.0257509999999999E-4</v>
      </c>
      <c r="BR4">
        <v>7.6949609999999997E-4</v>
      </c>
      <c r="BS4">
        <v>7.6079139999999995E-4</v>
      </c>
      <c r="BT4">
        <v>3.0813539999999999E-4</v>
      </c>
      <c r="BU4">
        <v>-4.9447219999999999E-4</v>
      </c>
      <c r="BV4">
        <v>-1.4150829999999999E-3</v>
      </c>
      <c r="BW4">
        <v>-1.8180830000000001E-3</v>
      </c>
      <c r="BX4">
        <v>-1.5383619999999999E-3</v>
      </c>
      <c r="BY4">
        <v>-1.0549069999999999E-3</v>
      </c>
      <c r="BZ4">
        <v>-5.5336250000000001E-4</v>
      </c>
      <c r="CA4">
        <v>-9.2900690000000002E-5</v>
      </c>
      <c r="CB4">
        <v>2.136626E-4</v>
      </c>
      <c r="CC4">
        <v>3.8967169999999998E-4</v>
      </c>
      <c r="CD4">
        <v>4.8215930000000001E-4</v>
      </c>
      <c r="CE4">
        <v>2.2686959999999999E-2</v>
      </c>
      <c r="CF4">
        <v>6.8284310000000001E-2</v>
      </c>
      <c r="CG4">
        <v>0.118753</v>
      </c>
      <c r="CH4">
        <v>0.1588994</v>
      </c>
      <c r="CI4">
        <v>0.18703939999999999</v>
      </c>
      <c r="CJ4">
        <v>0.2155223</v>
      </c>
      <c r="CK4">
        <v>0.24014089999999999</v>
      </c>
      <c r="CL4">
        <v>0.259214</v>
      </c>
      <c r="CM4">
        <v>0.27619320000000003</v>
      </c>
      <c r="CN4">
        <v>0.29878349999999998</v>
      </c>
      <c r="CO4">
        <v>0.32350519999999999</v>
      </c>
      <c r="CP4">
        <v>0.3451187</v>
      </c>
      <c r="CQ4">
        <v>0.3592146</v>
      </c>
      <c r="CR4">
        <v>0.37237920000000002</v>
      </c>
      <c r="CS4">
        <v>0.38524029999999998</v>
      </c>
      <c r="CT4">
        <v>0.39349630000000002</v>
      </c>
      <c r="CU4">
        <v>0.39188699999999999</v>
      </c>
      <c r="CV4">
        <v>0.3837063</v>
      </c>
      <c r="CW4">
        <v>0.36308249999999997</v>
      </c>
      <c r="CX4">
        <v>0.33258310000000002</v>
      </c>
      <c r="CY4">
        <v>0.29503000000000001</v>
      </c>
      <c r="CZ4">
        <v>0.25329940000000001</v>
      </c>
      <c r="DA4">
        <v>0.2102184</v>
      </c>
      <c r="DB4">
        <v>0.17237330000000001</v>
      </c>
      <c r="DC4">
        <v>0.12712799999999999</v>
      </c>
      <c r="DD4">
        <v>7.3893349999999997E-2</v>
      </c>
      <c r="DE4">
        <v>2.4645170000000001E-2</v>
      </c>
      <c r="DF4">
        <v>-2.479654E-3</v>
      </c>
      <c r="DG4">
        <v>-3.4567830000000002E-3</v>
      </c>
      <c r="DH4">
        <v>-2.7390779999999998E-3</v>
      </c>
      <c r="DI4">
        <v>-2.1490849999999998E-3</v>
      </c>
      <c r="DJ4">
        <v>-1.984768E-3</v>
      </c>
      <c r="DK4">
        <v>-1.5795620000000001E-3</v>
      </c>
      <c r="DL4">
        <v>-1.249757E-5</v>
      </c>
      <c r="DM4">
        <v>9.1597040000000003E-4</v>
      </c>
      <c r="DN4">
        <v>1.0618299999999999E-3</v>
      </c>
      <c r="DO4">
        <v>8.7344820000000004E-4</v>
      </c>
      <c r="DP4">
        <v>6.6079870000000001E-4</v>
      </c>
      <c r="DQ4">
        <v>5.1699109999999999E-4</v>
      </c>
      <c r="DR4">
        <v>4.3169200000000001E-4</v>
      </c>
      <c r="DS4">
        <v>3.566156E-4</v>
      </c>
      <c r="DT4">
        <v>3.2915249999999999E-4</v>
      </c>
      <c r="DU4">
        <v>4.3277570000000001E-4</v>
      </c>
      <c r="DV4">
        <v>7.4975910000000005E-4</v>
      </c>
      <c r="DW4">
        <v>1.349275E-3</v>
      </c>
      <c r="DX4">
        <v>2.372777E-3</v>
      </c>
      <c r="DY4">
        <v>2.7425129999999998E-3</v>
      </c>
      <c r="DZ4">
        <v>2.1850559999999999E-3</v>
      </c>
      <c r="EA4">
        <v>1.409081E-3</v>
      </c>
      <c r="EB4">
        <v>6.4282320000000001E-4</v>
      </c>
      <c r="EC4">
        <v>-1.7352350000000001E-4</v>
      </c>
      <c r="ED4">
        <v>-6.7838860000000003E-4</v>
      </c>
      <c r="EE4">
        <v>-1.056824E-3</v>
      </c>
      <c r="EF4">
        <v>-1.5263430000000001E-3</v>
      </c>
      <c r="EG4">
        <v>-1.691426E-3</v>
      </c>
      <c r="EH4">
        <v>-1.4207359999999999E-3</v>
      </c>
      <c r="EI4">
        <v>-9.6721060000000002E-4</v>
      </c>
      <c r="EJ4">
        <v>-4.1743990000000001E-4</v>
      </c>
      <c r="EK4">
        <v>8.969983E-5</v>
      </c>
      <c r="EL4">
        <v>4.2639819999999999E-4</v>
      </c>
      <c r="EM4">
        <v>4.3617990000000001E-4</v>
      </c>
      <c r="EN4">
        <v>-6.7972769999999997E-6</v>
      </c>
      <c r="EO4">
        <v>-8.4443590000000002E-4</v>
      </c>
      <c r="EP4">
        <v>-1.5515710000000001E-3</v>
      </c>
      <c r="EQ4">
        <v>-1.754818E-3</v>
      </c>
      <c r="ER4">
        <v>-1.332569E-3</v>
      </c>
      <c r="ES4">
        <v>-8.3240950000000005E-4</v>
      </c>
      <c r="ET4">
        <v>-3.146728E-4</v>
      </c>
      <c r="EU4">
        <v>9.4607359999999995E-5</v>
      </c>
      <c r="EV4">
        <v>3.2599259999999998E-4</v>
      </c>
      <c r="EW4">
        <v>4.3223840000000002E-4</v>
      </c>
      <c r="EX4">
        <v>4.9243150000000005E-4</v>
      </c>
      <c r="EY4">
        <v>2.268059E-2</v>
      </c>
      <c r="EZ4">
        <v>6.8236850000000002E-2</v>
      </c>
      <c r="FA4">
        <v>0.1186624</v>
      </c>
      <c r="FB4">
        <v>0.15887090000000001</v>
      </c>
      <c r="FC4">
        <v>0.1873196</v>
      </c>
      <c r="FD4">
        <v>0.2160706</v>
      </c>
      <c r="FE4">
        <v>0.2405091</v>
      </c>
      <c r="FF4">
        <v>0.2587256</v>
      </c>
      <c r="FG4">
        <v>0.2754318</v>
      </c>
      <c r="FH4">
        <v>0.29894219999999999</v>
      </c>
      <c r="FI4">
        <v>0.32504519999999998</v>
      </c>
      <c r="FJ4">
        <v>0.34800560000000003</v>
      </c>
      <c r="FK4">
        <v>0.3630177</v>
      </c>
      <c r="FL4">
        <v>0.37627959999999999</v>
      </c>
      <c r="FM4">
        <v>0.38860509999999998</v>
      </c>
      <c r="FN4">
        <v>0.39643270000000003</v>
      </c>
      <c r="FO4">
        <v>0.39512570000000002</v>
      </c>
      <c r="FP4">
        <v>0.3871289</v>
      </c>
      <c r="FQ4">
        <v>0.3653421</v>
      </c>
      <c r="FR4">
        <v>0.33314630000000001</v>
      </c>
      <c r="FS4">
        <v>0.29474590000000001</v>
      </c>
      <c r="FT4">
        <v>0.25303740000000002</v>
      </c>
      <c r="FU4">
        <v>0.20991219999999999</v>
      </c>
      <c r="FV4">
        <v>0.17171710000000001</v>
      </c>
      <c r="FW4">
        <v>0.1263813</v>
      </c>
      <c r="FX4">
        <v>7.3513490000000001E-2</v>
      </c>
      <c r="FY4">
        <v>2.4631E-2</v>
      </c>
      <c r="FZ4">
        <v>-2.3870929999999999E-3</v>
      </c>
      <c r="GA4">
        <v>-3.4007780000000001E-3</v>
      </c>
      <c r="GB4">
        <v>-2.814783E-3</v>
      </c>
      <c r="GC4">
        <v>-2.434093E-3</v>
      </c>
      <c r="GD4">
        <v>-2.3713720000000001E-3</v>
      </c>
      <c r="GE4">
        <v>-1.6665149999999999E-3</v>
      </c>
      <c r="GF4">
        <v>2.1218149999999999E-4</v>
      </c>
      <c r="GG4">
        <v>1.269271E-3</v>
      </c>
      <c r="GH4">
        <v>1.3516100000000001E-3</v>
      </c>
      <c r="GI4">
        <v>1.013199E-3</v>
      </c>
      <c r="GJ4">
        <v>7.4146900000000003E-4</v>
      </c>
      <c r="GK4">
        <v>5.7581139999999999E-4</v>
      </c>
      <c r="GL4">
        <v>4.6373390000000001E-4</v>
      </c>
      <c r="GM4">
        <v>3.3843110000000002E-4</v>
      </c>
      <c r="GN4">
        <v>2.3407380000000001E-4</v>
      </c>
      <c r="GO4">
        <v>1.7284010000000001E-4</v>
      </c>
      <c r="GP4">
        <v>3.2249900000000002E-4</v>
      </c>
      <c r="GQ4">
        <v>8.0147919999999997E-4</v>
      </c>
      <c r="GR4">
        <v>1.7321369999999999E-3</v>
      </c>
      <c r="GS4">
        <v>2.1801839999999999E-3</v>
      </c>
      <c r="GT4">
        <v>2.0203410000000002E-3</v>
      </c>
      <c r="GU4">
        <v>1.6218820000000001E-3</v>
      </c>
      <c r="GV4">
        <v>1.105838E-3</v>
      </c>
    </row>
    <row r="5" spans="2:204" x14ac:dyDescent="0.25">
      <c r="B5">
        <v>0.30027749999999997</v>
      </c>
      <c r="C5">
        <v>2.272658E-2</v>
      </c>
      <c r="D5">
        <f t="shared" ref="D5:D68" si="0">B5-$B$4</f>
        <v>2.7779999999999472E-4</v>
      </c>
      <c r="F5">
        <v>2.7779999999999472E-4</v>
      </c>
      <c r="G5">
        <v>2.272658E-2</v>
      </c>
      <c r="J5">
        <v>0</v>
      </c>
      <c r="K5">
        <v>2.7779999999999472E-4</v>
      </c>
      <c r="L5">
        <v>5.5560000000004495E-4</v>
      </c>
      <c r="M5">
        <v>8.3340000000003966E-4</v>
      </c>
      <c r="N5">
        <v>1.1112000000000344E-3</v>
      </c>
      <c r="O5">
        <v>1.3890000000000291E-3</v>
      </c>
      <c r="P5">
        <v>1.6668000000000238E-3</v>
      </c>
      <c r="Q5">
        <v>1.9446000000000185E-3</v>
      </c>
      <c r="R5">
        <v>2.2223000000000104E-3</v>
      </c>
      <c r="S5">
        <v>2.5001000000000051E-3</v>
      </c>
      <c r="T5">
        <v>2.7778999999999998E-3</v>
      </c>
      <c r="U5">
        <v>3.0556999999999945E-3</v>
      </c>
      <c r="V5">
        <v>3.3335000000000448E-3</v>
      </c>
      <c r="W5">
        <v>3.6113000000000395E-3</v>
      </c>
      <c r="X5">
        <v>3.8891000000000342E-3</v>
      </c>
      <c r="Y5">
        <v>4.1669000000000289E-3</v>
      </c>
      <c r="Z5">
        <v>4.4446000000000208E-3</v>
      </c>
      <c r="AA5">
        <v>4.7224000000000155E-3</v>
      </c>
      <c r="AB5">
        <v>5.0002000000000102E-3</v>
      </c>
      <c r="AC5">
        <v>5.2780000000000049E-3</v>
      </c>
      <c r="AD5">
        <v>5.5557999999999996E-3</v>
      </c>
      <c r="AE5">
        <v>5.8335999999999943E-3</v>
      </c>
      <c r="AF5">
        <v>6.1114000000000446E-3</v>
      </c>
      <c r="AG5">
        <v>6.3892000000000393E-3</v>
      </c>
      <c r="AH5">
        <v>6.6669000000000311E-3</v>
      </c>
      <c r="AI5">
        <v>6.9447000000000259E-3</v>
      </c>
      <c r="AJ5">
        <v>7.2225000000000206E-3</v>
      </c>
      <c r="AK5">
        <v>7.5003000000000153E-3</v>
      </c>
      <c r="AL5">
        <v>7.77810000000001E-3</v>
      </c>
      <c r="AM5">
        <v>8.0559000000000047E-3</v>
      </c>
      <c r="AN5">
        <v>8.3336999999999994E-3</v>
      </c>
      <c r="AO5">
        <v>8.6114999999999942E-3</v>
      </c>
      <c r="AP5">
        <v>8.8892000000000415E-3</v>
      </c>
      <c r="AQ5">
        <v>9.1670000000000362E-3</v>
      </c>
      <c r="AR5">
        <v>9.4448000000000309E-3</v>
      </c>
      <c r="AS5">
        <v>9.7226000000000257E-3</v>
      </c>
      <c r="AT5">
        <v>1.000040000000002E-2</v>
      </c>
      <c r="AU5">
        <v>1.0278200000000015E-2</v>
      </c>
      <c r="AV5">
        <v>1.055600000000001E-2</v>
      </c>
      <c r="AW5">
        <v>1.0833800000000005E-2</v>
      </c>
      <c r="AX5">
        <v>1.1111499999999996E-2</v>
      </c>
      <c r="AY5">
        <v>1.1389300000000047E-2</v>
      </c>
      <c r="AZ5">
        <v>1.1667100000000041E-2</v>
      </c>
      <c r="BA5">
        <v>1.1944900000000036E-2</v>
      </c>
      <c r="BB5">
        <v>1.2222700000000031E-2</v>
      </c>
      <c r="BC5">
        <v>1.2500500000000025E-2</v>
      </c>
      <c r="BD5">
        <v>1.277830000000002E-2</v>
      </c>
      <c r="BE5">
        <v>1.3056100000000015E-2</v>
      </c>
      <c r="BF5">
        <v>1.3333800000000007E-2</v>
      </c>
      <c r="BG5">
        <v>1.3611600000000001E-2</v>
      </c>
      <c r="BH5">
        <v>1.3889399999999996E-2</v>
      </c>
      <c r="BI5">
        <v>1.4167200000000046E-2</v>
      </c>
      <c r="BJ5">
        <v>1.4445000000000041E-2</v>
      </c>
      <c r="BK5">
        <v>1.4722800000000036E-2</v>
      </c>
      <c r="BL5">
        <v>1.5000600000000031E-2</v>
      </c>
      <c r="BM5">
        <v>1.5278400000000025E-2</v>
      </c>
      <c r="BN5">
        <v>1.5556100000000017E-2</v>
      </c>
      <c r="BO5">
        <v>1.5833900000000012E-2</v>
      </c>
      <c r="BP5">
        <v>1.6111700000000007E-2</v>
      </c>
      <c r="BQ5">
        <v>1.6389500000000001E-2</v>
      </c>
      <c r="BR5">
        <v>1.6667299999999996E-2</v>
      </c>
      <c r="BS5">
        <v>1.6945100000000046E-2</v>
      </c>
      <c r="BT5">
        <v>1.7222900000000041E-2</v>
      </c>
      <c r="BU5">
        <v>1.7500700000000036E-2</v>
      </c>
      <c r="BV5">
        <v>1.7778400000000028E-2</v>
      </c>
      <c r="BW5">
        <v>1.8056200000000022E-2</v>
      </c>
      <c r="BX5">
        <v>1.8334000000000017E-2</v>
      </c>
      <c r="BY5">
        <v>1.8611800000000012E-2</v>
      </c>
      <c r="BZ5">
        <v>1.8889600000000006E-2</v>
      </c>
      <c r="CA5">
        <v>1.9167400000000001E-2</v>
      </c>
      <c r="CB5">
        <v>1.9445199999999996E-2</v>
      </c>
      <c r="CC5">
        <v>1.9723000000000046E-2</v>
      </c>
      <c r="CD5">
        <v>2.0000700000000038E-2</v>
      </c>
      <c r="CE5">
        <v>2.0278500000000033E-2</v>
      </c>
      <c r="CF5">
        <v>2.0556300000000027E-2</v>
      </c>
      <c r="CG5">
        <v>2.0834100000000022E-2</v>
      </c>
      <c r="CH5">
        <v>2.1111900000000017E-2</v>
      </c>
      <c r="CI5">
        <v>2.1389700000000011E-2</v>
      </c>
      <c r="CJ5">
        <v>2.1667500000000006E-2</v>
      </c>
      <c r="CK5">
        <v>2.1945300000000001E-2</v>
      </c>
      <c r="CL5">
        <v>2.2222999999999993E-2</v>
      </c>
      <c r="CM5">
        <v>2.2500800000000043E-2</v>
      </c>
      <c r="CN5">
        <v>2.2778600000000038E-2</v>
      </c>
      <c r="CO5">
        <v>2.3056400000000032E-2</v>
      </c>
      <c r="CP5">
        <v>2.3334200000000027E-2</v>
      </c>
      <c r="CQ5">
        <v>2.3612000000000022E-2</v>
      </c>
      <c r="CR5">
        <v>2.3889800000000017E-2</v>
      </c>
      <c r="CS5">
        <v>2.4167600000000011E-2</v>
      </c>
      <c r="CT5">
        <v>2.4445300000000003E-2</v>
      </c>
      <c r="CU5">
        <v>2.4723099999999998E-2</v>
      </c>
      <c r="CV5">
        <v>2.5000899999999993E-2</v>
      </c>
      <c r="CW5">
        <v>2.5278700000000043E-2</v>
      </c>
      <c r="CX5">
        <v>2.5556500000000038E-2</v>
      </c>
      <c r="CY5">
        <v>2.5834300000000032E-2</v>
      </c>
      <c r="CZ5">
        <v>2.6112100000000027E-2</v>
      </c>
      <c r="DA5">
        <v>2.6389900000000022E-2</v>
      </c>
      <c r="DB5">
        <v>2.6667600000000014E-2</v>
      </c>
      <c r="DC5">
        <v>2.6945400000000008E-2</v>
      </c>
      <c r="DD5">
        <v>2.7223200000000003E-2</v>
      </c>
      <c r="DE5">
        <v>2.7500999999999998E-2</v>
      </c>
      <c r="DF5">
        <v>2.7778799999999992E-2</v>
      </c>
      <c r="DG5">
        <v>2.8056600000000043E-2</v>
      </c>
      <c r="DH5">
        <v>2.8334400000000037E-2</v>
      </c>
      <c r="DI5">
        <v>2.8612200000000032E-2</v>
      </c>
      <c r="DJ5">
        <v>2.8889900000000024E-2</v>
      </c>
      <c r="DK5">
        <v>2.9167700000000019E-2</v>
      </c>
      <c r="DL5">
        <v>2.9445500000000013E-2</v>
      </c>
      <c r="DM5">
        <v>2.9723300000000008E-2</v>
      </c>
      <c r="DN5">
        <v>3.0001100000000003E-2</v>
      </c>
      <c r="DO5">
        <v>3.0278899999999997E-2</v>
      </c>
      <c r="DP5">
        <v>3.0556699999999992E-2</v>
      </c>
      <c r="DQ5">
        <v>3.0834500000000042E-2</v>
      </c>
      <c r="DR5">
        <v>3.1112200000000034E-2</v>
      </c>
      <c r="DS5">
        <v>3.1390000000000029E-2</v>
      </c>
      <c r="DT5">
        <v>3.1667800000000024E-2</v>
      </c>
      <c r="DU5">
        <v>3.1945600000000018E-2</v>
      </c>
      <c r="DV5">
        <v>3.2223400000000013E-2</v>
      </c>
      <c r="DW5">
        <v>3.2501200000000008E-2</v>
      </c>
      <c r="DX5">
        <v>3.2779000000000003E-2</v>
      </c>
      <c r="DY5">
        <v>3.3056699999999994E-2</v>
      </c>
      <c r="DZ5">
        <v>3.3334500000000045E-2</v>
      </c>
      <c r="EA5">
        <v>3.3612300000000039E-2</v>
      </c>
      <c r="EB5">
        <v>3.3890100000000034E-2</v>
      </c>
      <c r="EC5">
        <v>3.4167900000000029E-2</v>
      </c>
      <c r="ED5">
        <v>3.4445700000000024E-2</v>
      </c>
      <c r="EE5">
        <v>3.4723500000000018E-2</v>
      </c>
      <c r="EF5">
        <v>3.5001300000000013E-2</v>
      </c>
      <c r="EG5">
        <v>3.5279000000000005E-2</v>
      </c>
      <c r="EH5">
        <v>3.55568E-2</v>
      </c>
      <c r="EI5">
        <v>3.5834599999999994E-2</v>
      </c>
      <c r="EJ5">
        <v>3.6112400000000044E-2</v>
      </c>
      <c r="EK5">
        <v>3.6390200000000039E-2</v>
      </c>
      <c r="EL5">
        <v>3.6668000000000034E-2</v>
      </c>
      <c r="EM5">
        <v>3.6945800000000029E-2</v>
      </c>
      <c r="EN5">
        <v>3.7223600000000023E-2</v>
      </c>
      <c r="EO5">
        <v>3.7501300000000015E-2</v>
      </c>
      <c r="EP5">
        <v>3.777910000000001E-2</v>
      </c>
      <c r="EQ5">
        <v>3.8056900000000005E-2</v>
      </c>
      <c r="ER5">
        <v>3.8334699999999999E-2</v>
      </c>
      <c r="ES5">
        <v>3.8612499999999994E-2</v>
      </c>
      <c r="ET5">
        <v>3.8890300000000044E-2</v>
      </c>
      <c r="EU5">
        <v>3.9168100000000039E-2</v>
      </c>
      <c r="EV5">
        <v>3.9445900000000034E-2</v>
      </c>
      <c r="EW5">
        <v>3.9723600000000026E-2</v>
      </c>
      <c r="EX5">
        <v>4.000140000000002E-2</v>
      </c>
      <c r="EY5">
        <v>4.0279200000000015E-2</v>
      </c>
      <c r="EZ5">
        <v>4.055700000000001E-2</v>
      </c>
      <c r="FA5">
        <v>4.0834800000000004E-2</v>
      </c>
      <c r="FB5">
        <v>4.1112599999999999E-2</v>
      </c>
      <c r="FC5">
        <v>4.1390399999999994E-2</v>
      </c>
      <c r="FD5">
        <v>4.1668200000000044E-2</v>
      </c>
      <c r="FE5">
        <v>4.1945900000000036E-2</v>
      </c>
      <c r="FF5">
        <v>4.2223700000000031E-2</v>
      </c>
      <c r="FG5">
        <v>4.2501500000000025E-2</v>
      </c>
      <c r="FH5">
        <v>4.277930000000002E-2</v>
      </c>
      <c r="FI5">
        <v>4.3057100000000015E-2</v>
      </c>
      <c r="FJ5">
        <v>4.333490000000001E-2</v>
      </c>
      <c r="FK5">
        <v>4.3612700000000004E-2</v>
      </c>
      <c r="FL5">
        <v>4.3890499999999999E-2</v>
      </c>
      <c r="FM5">
        <v>4.4168200000000046E-2</v>
      </c>
      <c r="FN5">
        <v>4.4446000000000041E-2</v>
      </c>
      <c r="FO5">
        <v>4.4723800000000036E-2</v>
      </c>
      <c r="FP5">
        <v>4.500160000000003E-2</v>
      </c>
      <c r="FQ5">
        <v>4.5279400000000025E-2</v>
      </c>
      <c r="FR5">
        <v>4.555720000000002E-2</v>
      </c>
      <c r="FS5">
        <v>4.5835000000000015E-2</v>
      </c>
      <c r="FT5">
        <v>4.6112800000000009E-2</v>
      </c>
      <c r="FU5">
        <v>4.6390500000000001E-2</v>
      </c>
      <c r="FV5">
        <v>4.6668299999999996E-2</v>
      </c>
      <c r="FW5">
        <v>4.6946100000000046E-2</v>
      </c>
      <c r="FX5">
        <v>4.7223900000000041E-2</v>
      </c>
      <c r="FY5">
        <v>4.7501700000000036E-2</v>
      </c>
      <c r="FZ5">
        <v>4.777950000000003E-2</v>
      </c>
      <c r="GA5">
        <v>4.8057300000000025E-2</v>
      </c>
      <c r="GB5">
        <v>4.833510000000002E-2</v>
      </c>
      <c r="GC5">
        <v>4.8612800000000012E-2</v>
      </c>
      <c r="GD5">
        <v>4.8890600000000006E-2</v>
      </c>
      <c r="GE5">
        <v>4.9168400000000001E-2</v>
      </c>
      <c r="GF5">
        <v>4.9446199999999996E-2</v>
      </c>
      <c r="GG5">
        <v>4.9724000000000046E-2</v>
      </c>
      <c r="GH5">
        <v>5.0001800000000041E-2</v>
      </c>
      <c r="GI5">
        <v>5.0279600000000035E-2</v>
      </c>
      <c r="GJ5">
        <v>5.055740000000003E-2</v>
      </c>
      <c r="GK5">
        <v>5.0835100000000022E-2</v>
      </c>
      <c r="GL5">
        <v>5.1112900000000017E-2</v>
      </c>
      <c r="GM5">
        <v>5.1390700000000011E-2</v>
      </c>
      <c r="GN5">
        <v>5.1668500000000006E-2</v>
      </c>
      <c r="GO5">
        <v>5.1946300000000001E-2</v>
      </c>
      <c r="GP5">
        <v>5.2224099999999996E-2</v>
      </c>
      <c r="GQ5">
        <v>5.2501900000000046E-2</v>
      </c>
      <c r="GR5">
        <v>5.277970000000004E-2</v>
      </c>
      <c r="GS5">
        <v>5.3057400000000032E-2</v>
      </c>
      <c r="GT5">
        <v>5.3335200000000027E-2</v>
      </c>
      <c r="GU5">
        <v>5.3613000000000022E-2</v>
      </c>
      <c r="GV5">
        <v>5.3890800000000016E-2</v>
      </c>
    </row>
    <row r="6" spans="2:204" x14ac:dyDescent="0.25">
      <c r="B6">
        <v>0.30055530000000003</v>
      </c>
      <c r="C6">
        <v>6.8270990000000004E-2</v>
      </c>
      <c r="D6">
        <f t="shared" si="0"/>
        <v>5.5560000000004495E-4</v>
      </c>
      <c r="F6">
        <v>5.5560000000004495E-4</v>
      </c>
      <c r="G6">
        <v>6.8270990000000004E-2</v>
      </c>
    </row>
    <row r="7" spans="2:204" x14ac:dyDescent="0.25">
      <c r="B7">
        <v>0.30083310000000002</v>
      </c>
      <c r="C7">
        <v>0.1186316</v>
      </c>
      <c r="D7">
        <f t="shared" si="0"/>
        <v>8.3340000000003966E-4</v>
      </c>
      <c r="F7">
        <v>8.3340000000003966E-4</v>
      </c>
      <c r="G7">
        <v>0.1186316</v>
      </c>
      <c r="M7" t="s">
        <v>242</v>
      </c>
    </row>
    <row r="8" spans="2:204" x14ac:dyDescent="0.25">
      <c r="B8">
        <v>0.30111090000000001</v>
      </c>
      <c r="C8">
        <v>0.15856919999999999</v>
      </c>
      <c r="D8">
        <f t="shared" si="0"/>
        <v>1.1112000000000344E-3</v>
      </c>
      <c r="F8">
        <v>1.1112000000000344E-3</v>
      </c>
      <c r="G8">
        <v>0.15856919999999999</v>
      </c>
    </row>
    <row r="9" spans="2:204" x14ac:dyDescent="0.25">
      <c r="B9">
        <v>0.30138870000000001</v>
      </c>
      <c r="C9">
        <v>0.186692</v>
      </c>
      <c r="D9">
        <f t="shared" si="0"/>
        <v>1.3890000000000291E-3</v>
      </c>
      <c r="F9">
        <v>1.3890000000000291E-3</v>
      </c>
      <c r="G9">
        <v>0.186692</v>
      </c>
      <c r="L9">
        <v>0</v>
      </c>
      <c r="N9" t="s">
        <v>42</v>
      </c>
    </row>
    <row r="10" spans="2:204" x14ac:dyDescent="0.25">
      <c r="B10">
        <v>0.3016665</v>
      </c>
      <c r="C10">
        <v>0.2154237</v>
      </c>
      <c r="D10">
        <f t="shared" si="0"/>
        <v>1.6668000000000238E-3</v>
      </c>
      <c r="F10">
        <v>1.6668000000000238E-3</v>
      </c>
      <c r="G10">
        <v>0.2154237</v>
      </c>
    </row>
    <row r="11" spans="2:204" x14ac:dyDescent="0.25">
      <c r="B11">
        <v>0.3019443</v>
      </c>
      <c r="C11">
        <v>0.240842</v>
      </c>
      <c r="D11">
        <f t="shared" si="0"/>
        <v>1.9446000000000185E-3</v>
      </c>
      <c r="F11">
        <v>1.9446000000000185E-3</v>
      </c>
      <c r="G11">
        <v>0.240842</v>
      </c>
      <c r="K11" t="s">
        <v>43</v>
      </c>
      <c r="L11" t="s">
        <v>48</v>
      </c>
      <c r="M11" t="s">
        <v>44</v>
      </c>
      <c r="P11">
        <f>IF(MOD(ROW(),2)=0,"",F4)</f>
        <v>0</v>
      </c>
      <c r="R11" t="s">
        <v>40</v>
      </c>
      <c r="S11" t="s">
        <v>41</v>
      </c>
      <c r="T11" t="s">
        <v>42</v>
      </c>
    </row>
    <row r="12" spans="2:204" x14ac:dyDescent="0.25">
      <c r="B12">
        <v>0.30222199999999999</v>
      </c>
      <c r="C12">
        <v>0.26096029999999998</v>
      </c>
      <c r="D12">
        <f t="shared" si="0"/>
        <v>2.2223000000000104E-3</v>
      </c>
      <c r="F12">
        <v>2.2223000000000104E-3</v>
      </c>
      <c r="G12">
        <v>0.26096029999999998</v>
      </c>
      <c r="M12" t="s">
        <v>45</v>
      </c>
      <c r="N12" t="s">
        <v>243</v>
      </c>
      <c r="O12" t="s">
        <v>46</v>
      </c>
      <c r="P12" t="str">
        <f>IF(MOD(ROW(),2)=0,"",F5)</f>
        <v/>
      </c>
      <c r="R12">
        <v>1</v>
      </c>
      <c r="S12">
        <v>0</v>
      </c>
      <c r="T12">
        <v>5.6804070000000004E-4</v>
      </c>
      <c r="V12">
        <f>Tabela2[[#This Row],[mass-flow-rate]]/2</f>
        <v>2.8402035000000002E-4</v>
      </c>
      <c r="X12">
        <f>V12</f>
        <v>2.8402035000000002E-4</v>
      </c>
    </row>
    <row r="13" spans="2:204" x14ac:dyDescent="0.25">
      <c r="B13">
        <v>0.30249979999999999</v>
      </c>
      <c r="C13">
        <v>0.27938960000000002</v>
      </c>
      <c r="D13">
        <f t="shared" si="0"/>
        <v>2.5001000000000051E-3</v>
      </c>
      <c r="F13">
        <v>2.5001000000000051E-3</v>
      </c>
      <c r="G13">
        <v>0.27938960000000002</v>
      </c>
      <c r="K13" t="s">
        <v>47</v>
      </c>
      <c r="L13" t="s">
        <v>49</v>
      </c>
      <c r="M13" t="s">
        <v>44</v>
      </c>
      <c r="P13">
        <f>IF(MOD(ROW(),2)=0,"",F5)</f>
        <v>2.7779999999999472E-4</v>
      </c>
      <c r="R13">
        <v>1</v>
      </c>
      <c r="X13">
        <f>V14</f>
        <v>1.136329E-2</v>
      </c>
    </row>
    <row r="14" spans="2:204" x14ac:dyDescent="0.25">
      <c r="B14">
        <v>0.30277759999999998</v>
      </c>
      <c r="C14">
        <v>0.30348579999999997</v>
      </c>
      <c r="D14">
        <f t="shared" si="0"/>
        <v>2.7778999999999998E-3</v>
      </c>
      <c r="F14">
        <v>2.7778999999999998E-3</v>
      </c>
      <c r="G14">
        <v>0.30348579999999997</v>
      </c>
      <c r="M14" t="s">
        <v>45</v>
      </c>
      <c r="N14" t="s">
        <v>244</v>
      </c>
      <c r="O14" t="s">
        <v>46</v>
      </c>
      <c r="P14" t="str">
        <f t="shared" ref="P14:P74" si="1">IF(MOD(ROW(),2)=0,"",F6)</f>
        <v/>
      </c>
      <c r="R14">
        <v>2</v>
      </c>
      <c r="S14">
        <v>2.7779999999999472E-4</v>
      </c>
      <c r="T14">
        <v>2.272658E-2</v>
      </c>
      <c r="V14">
        <f>Tabela2[[#This Row],[mass-flow-rate]]/2</f>
        <v>1.136329E-2</v>
      </c>
      <c r="X14">
        <f>V16</f>
        <v>3.4135495000000002E-2</v>
      </c>
    </row>
    <row r="15" spans="2:204" x14ac:dyDescent="0.25">
      <c r="B15">
        <v>0.30305539999999997</v>
      </c>
      <c r="C15">
        <v>0.32936149999999997</v>
      </c>
      <c r="D15">
        <f t="shared" si="0"/>
        <v>3.0556999999999945E-3</v>
      </c>
      <c r="F15">
        <v>3.0556999999999945E-3</v>
      </c>
      <c r="G15">
        <v>0.32936149999999997</v>
      </c>
      <c r="K15" t="s">
        <v>47</v>
      </c>
      <c r="L15" t="s">
        <v>50</v>
      </c>
      <c r="M15" t="s">
        <v>44</v>
      </c>
      <c r="P15">
        <f>IF(MOD(ROW(),2)=0,"",F6)</f>
        <v>5.5560000000004495E-4</v>
      </c>
      <c r="R15">
        <v>2</v>
      </c>
      <c r="X15">
        <f>V18</f>
        <v>5.9315800000000002E-2</v>
      </c>
    </row>
    <row r="16" spans="2:204" x14ac:dyDescent="0.25">
      <c r="B16">
        <v>0.30333320000000003</v>
      </c>
      <c r="C16">
        <v>0.35151660000000001</v>
      </c>
      <c r="D16">
        <f t="shared" si="0"/>
        <v>3.3335000000000448E-3</v>
      </c>
      <c r="F16">
        <v>3.3335000000000448E-3</v>
      </c>
      <c r="G16">
        <v>0.35151660000000001</v>
      </c>
      <c r="M16" t="s">
        <v>45</v>
      </c>
      <c r="N16" t="s">
        <v>245</v>
      </c>
      <c r="O16" t="s">
        <v>46</v>
      </c>
      <c r="P16" t="str">
        <f t="shared" si="1"/>
        <v/>
      </c>
      <c r="R16">
        <v>3</v>
      </c>
      <c r="S16">
        <v>5.5560000000004495E-4</v>
      </c>
      <c r="T16">
        <v>6.8270990000000004E-2</v>
      </c>
      <c r="V16">
        <f>Tabela2[[#This Row],[mass-flow-rate]]/2</f>
        <v>3.4135495000000002E-2</v>
      </c>
      <c r="X16">
        <f>V20</f>
        <v>7.9284599999999997E-2</v>
      </c>
    </row>
    <row r="17" spans="2:24" x14ac:dyDescent="0.25">
      <c r="B17">
        <v>0.30361100000000002</v>
      </c>
      <c r="C17">
        <v>0.36580380000000001</v>
      </c>
      <c r="D17">
        <f t="shared" si="0"/>
        <v>3.6113000000000395E-3</v>
      </c>
      <c r="F17">
        <v>3.6113000000000395E-3</v>
      </c>
      <c r="G17">
        <v>0.36580380000000001</v>
      </c>
      <c r="K17" t="s">
        <v>47</v>
      </c>
      <c r="L17" t="s">
        <v>51</v>
      </c>
      <c r="M17" t="s">
        <v>44</v>
      </c>
      <c r="P17">
        <f>IF(MOD(ROW(),2)=0,"",F7)</f>
        <v>8.3340000000003966E-4</v>
      </c>
      <c r="R17">
        <v>3</v>
      </c>
      <c r="X17">
        <f>V22</f>
        <v>9.3345999999999998E-2</v>
      </c>
    </row>
    <row r="18" spans="2:24" x14ac:dyDescent="0.25">
      <c r="B18">
        <v>0.30388880000000001</v>
      </c>
      <c r="C18">
        <v>0.37846590000000002</v>
      </c>
      <c r="D18">
        <f t="shared" si="0"/>
        <v>3.8891000000000342E-3</v>
      </c>
      <c r="F18">
        <v>3.8891000000000342E-3</v>
      </c>
      <c r="G18">
        <v>0.37846590000000002</v>
      </c>
      <c r="M18" t="s">
        <v>45</v>
      </c>
      <c r="N18" t="s">
        <v>246</v>
      </c>
      <c r="O18" t="s">
        <v>46</v>
      </c>
      <c r="P18" t="str">
        <f t="shared" si="1"/>
        <v/>
      </c>
      <c r="R18">
        <v>4</v>
      </c>
      <c r="S18">
        <v>8.3340000000003966E-4</v>
      </c>
      <c r="T18">
        <v>0.1186316</v>
      </c>
      <c r="V18">
        <f>Tabela2[[#This Row],[mass-flow-rate]]/2</f>
        <v>5.9315800000000002E-2</v>
      </c>
      <c r="X18">
        <f>V24</f>
        <v>0.10771185</v>
      </c>
    </row>
    <row r="19" spans="2:24" x14ac:dyDescent="0.25">
      <c r="B19">
        <v>0.30416660000000001</v>
      </c>
      <c r="C19">
        <v>0.39053169999999998</v>
      </c>
      <c r="D19">
        <f t="shared" si="0"/>
        <v>4.1669000000000289E-3</v>
      </c>
      <c r="F19">
        <v>4.1669000000000289E-3</v>
      </c>
      <c r="G19">
        <v>0.39053169999999998</v>
      </c>
      <c r="K19" t="s">
        <v>47</v>
      </c>
      <c r="L19" t="s">
        <v>52</v>
      </c>
      <c r="M19" t="s">
        <v>44</v>
      </c>
      <c r="P19">
        <f t="shared" ref="P19:P20" si="2">IF(MOD(ROW(),2)=0,"",F12)</f>
        <v>2.2223000000000104E-3</v>
      </c>
      <c r="R19">
        <v>4</v>
      </c>
      <c r="X19">
        <f>V26</f>
        <v>0.120421</v>
      </c>
    </row>
    <row r="20" spans="2:24" x14ac:dyDescent="0.25">
      <c r="B20">
        <v>0.3044443</v>
      </c>
      <c r="C20">
        <v>0.39853329999999998</v>
      </c>
      <c r="D20">
        <f t="shared" si="0"/>
        <v>4.4446000000000208E-3</v>
      </c>
      <c r="F20">
        <v>4.4446000000000208E-3</v>
      </c>
      <c r="G20">
        <v>0.39853329999999998</v>
      </c>
      <c r="M20" t="s">
        <v>45</v>
      </c>
      <c r="N20" t="s">
        <v>247</v>
      </c>
      <c r="O20" t="s">
        <v>46</v>
      </c>
      <c r="P20" t="str">
        <f t="shared" si="2"/>
        <v/>
      </c>
      <c r="R20">
        <v>5</v>
      </c>
      <c r="S20">
        <v>1.1112000000000344E-3</v>
      </c>
      <c r="T20">
        <v>0.15856919999999999</v>
      </c>
      <c r="V20">
        <f>Tabela2[[#This Row],[mass-flow-rate]]/2</f>
        <v>7.9284599999999997E-2</v>
      </c>
      <c r="X20">
        <f>V28</f>
        <v>0.13048014999999999</v>
      </c>
    </row>
    <row r="21" spans="2:24" x14ac:dyDescent="0.25">
      <c r="B21">
        <v>0.3047221</v>
      </c>
      <c r="C21">
        <v>0.3973293</v>
      </c>
      <c r="D21">
        <f t="shared" si="0"/>
        <v>4.7224000000000155E-3</v>
      </c>
      <c r="F21">
        <v>4.7224000000000155E-3</v>
      </c>
      <c r="G21">
        <v>0.3973293</v>
      </c>
      <c r="K21" t="s">
        <v>47</v>
      </c>
      <c r="L21" t="s">
        <v>53</v>
      </c>
      <c r="M21" t="s">
        <v>44</v>
      </c>
      <c r="P21">
        <f t="shared" ref="P21" si="3">IF(MOD(ROW(),2)=0,"",F13)</f>
        <v>2.5001000000000051E-3</v>
      </c>
      <c r="R21">
        <v>5</v>
      </c>
      <c r="X21">
        <f>V30</f>
        <v>0.13969480000000001</v>
      </c>
    </row>
    <row r="22" spans="2:24" x14ac:dyDescent="0.25">
      <c r="B22">
        <v>0.30499989999999999</v>
      </c>
      <c r="C22">
        <v>0.38896459999999999</v>
      </c>
      <c r="D22">
        <f t="shared" si="0"/>
        <v>5.0002000000000102E-3</v>
      </c>
      <c r="F22">
        <v>5.0002000000000102E-3</v>
      </c>
      <c r="G22">
        <v>0.38896459999999999</v>
      </c>
      <c r="M22" t="s">
        <v>45</v>
      </c>
      <c r="N22" t="s">
        <v>248</v>
      </c>
      <c r="O22" t="s">
        <v>46</v>
      </c>
      <c r="P22" t="str">
        <f t="shared" si="1"/>
        <v/>
      </c>
      <c r="R22">
        <v>6</v>
      </c>
      <c r="S22">
        <v>1.3890000000000291E-3</v>
      </c>
      <c r="T22">
        <v>0.186692</v>
      </c>
      <c r="V22">
        <f>Tabela2[[#This Row],[mass-flow-rate]]/2</f>
        <v>9.3345999999999998E-2</v>
      </c>
      <c r="X22">
        <f>V32</f>
        <v>0.15174289999999999</v>
      </c>
    </row>
    <row r="23" spans="2:24" x14ac:dyDescent="0.25">
      <c r="B23">
        <v>0.30527769999999999</v>
      </c>
      <c r="C23">
        <v>0.36676110000000001</v>
      </c>
      <c r="D23">
        <f t="shared" si="0"/>
        <v>5.2780000000000049E-3</v>
      </c>
      <c r="F23">
        <v>5.2780000000000049E-3</v>
      </c>
      <c r="G23">
        <v>0.36676110000000001</v>
      </c>
      <c r="K23" t="s">
        <v>47</v>
      </c>
      <c r="L23" t="s">
        <v>54</v>
      </c>
      <c r="M23" t="s">
        <v>44</v>
      </c>
      <c r="P23">
        <f t="shared" ref="P23" si="4">IF(MOD(ROW(),2)=0,"",F14)</f>
        <v>2.7778999999999998E-3</v>
      </c>
      <c r="R23">
        <v>6</v>
      </c>
      <c r="X23">
        <f>V34</f>
        <v>0.16468074999999999</v>
      </c>
    </row>
    <row r="24" spans="2:24" x14ac:dyDescent="0.25">
      <c r="B24">
        <v>0.30555549999999998</v>
      </c>
      <c r="C24">
        <v>0.33451740000000002</v>
      </c>
      <c r="D24">
        <f t="shared" si="0"/>
        <v>5.5557999999999996E-3</v>
      </c>
      <c r="F24">
        <v>5.5557999999999996E-3</v>
      </c>
      <c r="G24">
        <v>0.33451740000000002</v>
      </c>
      <c r="M24" t="s">
        <v>45</v>
      </c>
      <c r="N24" t="s">
        <v>249</v>
      </c>
      <c r="O24" t="s">
        <v>46</v>
      </c>
      <c r="P24" t="str">
        <f t="shared" si="1"/>
        <v/>
      </c>
      <c r="R24">
        <v>7</v>
      </c>
      <c r="S24">
        <v>1.6668000000000238E-3</v>
      </c>
      <c r="T24">
        <v>0.2154237</v>
      </c>
      <c r="V24">
        <f>Tabela2[[#This Row],[mass-flow-rate]]/2</f>
        <v>0.10771185</v>
      </c>
      <c r="X24">
        <f>V36</f>
        <v>0.17575830000000001</v>
      </c>
    </row>
    <row r="25" spans="2:24" x14ac:dyDescent="0.25">
      <c r="B25">
        <v>0.30583329999999997</v>
      </c>
      <c r="C25">
        <v>0.29596600000000001</v>
      </c>
      <c r="D25">
        <f t="shared" si="0"/>
        <v>5.8335999999999943E-3</v>
      </c>
      <c r="F25">
        <v>5.8335999999999943E-3</v>
      </c>
      <c r="G25">
        <v>0.29596600000000001</v>
      </c>
      <c r="K25" t="s">
        <v>47</v>
      </c>
      <c r="L25" t="s">
        <v>55</v>
      </c>
      <c r="M25" t="s">
        <v>44</v>
      </c>
      <c r="P25">
        <f t="shared" ref="P25" si="5">IF(MOD(ROW(),2)=0,"",F15)</f>
        <v>3.0556999999999945E-3</v>
      </c>
      <c r="R25">
        <v>7</v>
      </c>
      <c r="X25">
        <f>V38</f>
        <v>0.18290190000000001</v>
      </c>
    </row>
    <row r="26" spans="2:24" x14ac:dyDescent="0.25">
      <c r="B26">
        <v>0.30611110000000002</v>
      </c>
      <c r="C26">
        <v>0.25391350000000001</v>
      </c>
      <c r="D26">
        <f t="shared" si="0"/>
        <v>6.1114000000000446E-3</v>
      </c>
      <c r="F26">
        <v>6.1114000000000446E-3</v>
      </c>
      <c r="G26">
        <v>0.25391350000000001</v>
      </c>
      <c r="M26" t="s">
        <v>45</v>
      </c>
      <c r="N26" t="s">
        <v>250</v>
      </c>
      <c r="O26" t="s">
        <v>46</v>
      </c>
      <c r="P26" t="str">
        <f t="shared" si="1"/>
        <v/>
      </c>
      <c r="R26">
        <v>8</v>
      </c>
      <c r="S26">
        <v>1.9446000000000185E-3</v>
      </c>
      <c r="T26">
        <v>0.240842</v>
      </c>
      <c r="V26">
        <f>Tabela2[[#This Row],[mass-flow-rate]]/2</f>
        <v>0.120421</v>
      </c>
      <c r="X26">
        <f>V40</f>
        <v>0.18923295000000001</v>
      </c>
    </row>
    <row r="27" spans="2:24" x14ac:dyDescent="0.25">
      <c r="B27">
        <v>0.30638890000000002</v>
      </c>
      <c r="C27">
        <v>0.21040929999999999</v>
      </c>
      <c r="D27">
        <f t="shared" si="0"/>
        <v>6.3892000000000393E-3</v>
      </c>
      <c r="F27">
        <v>6.3892000000000393E-3</v>
      </c>
      <c r="G27">
        <v>0.21040929999999999</v>
      </c>
      <c r="K27" t="s">
        <v>47</v>
      </c>
      <c r="L27" t="s">
        <v>56</v>
      </c>
      <c r="M27" t="s">
        <v>44</v>
      </c>
      <c r="P27">
        <f t="shared" ref="P27:P28" si="6">IF(MOD(ROW(),2)=0,"",F20)</f>
        <v>4.4446000000000208E-3</v>
      </c>
      <c r="R27">
        <v>8</v>
      </c>
      <c r="X27">
        <f>V42</f>
        <v>0.19526584999999999</v>
      </c>
    </row>
    <row r="28" spans="2:24" x14ac:dyDescent="0.25">
      <c r="B28">
        <v>0.30666660000000001</v>
      </c>
      <c r="C28">
        <v>0.1718469</v>
      </c>
      <c r="D28">
        <f t="shared" si="0"/>
        <v>6.6669000000000311E-3</v>
      </c>
      <c r="F28">
        <v>6.6669000000000311E-3</v>
      </c>
      <c r="G28">
        <v>0.1718469</v>
      </c>
      <c r="M28" t="s">
        <v>45</v>
      </c>
      <c r="N28" t="s">
        <v>251</v>
      </c>
      <c r="O28" t="s">
        <v>46</v>
      </c>
      <c r="P28" t="str">
        <f t="shared" si="6"/>
        <v/>
      </c>
      <c r="R28">
        <v>9</v>
      </c>
      <c r="S28">
        <v>2.2223000000000104E-3</v>
      </c>
      <c r="T28">
        <v>0.26096029999999998</v>
      </c>
      <c r="V28">
        <f>Tabela2[[#This Row],[mass-flow-rate]]/2</f>
        <v>0.13048014999999999</v>
      </c>
      <c r="X28">
        <f>V44</f>
        <v>0.19926664999999999</v>
      </c>
    </row>
    <row r="29" spans="2:24" x14ac:dyDescent="0.25">
      <c r="B29">
        <v>0.30694440000000001</v>
      </c>
      <c r="C29">
        <v>0.12640979999999999</v>
      </c>
      <c r="D29">
        <f t="shared" si="0"/>
        <v>6.9447000000000259E-3</v>
      </c>
      <c r="F29">
        <v>6.9447000000000259E-3</v>
      </c>
      <c r="G29">
        <v>0.12640979999999999</v>
      </c>
      <c r="K29" t="s">
        <v>47</v>
      </c>
      <c r="L29" t="s">
        <v>57</v>
      </c>
      <c r="M29" t="s">
        <v>44</v>
      </c>
      <c r="P29">
        <f t="shared" ref="P29" si="7">IF(MOD(ROW(),2)=0,"",F21)</f>
        <v>4.7224000000000155E-3</v>
      </c>
      <c r="R29">
        <v>9</v>
      </c>
      <c r="X29">
        <f>V46</f>
        <v>0.19866465</v>
      </c>
    </row>
    <row r="30" spans="2:24" x14ac:dyDescent="0.25">
      <c r="B30">
        <v>0.3072222</v>
      </c>
      <c r="C30">
        <v>7.373412E-2</v>
      </c>
      <c r="D30">
        <f t="shared" si="0"/>
        <v>7.2225000000000206E-3</v>
      </c>
      <c r="F30">
        <v>7.2225000000000206E-3</v>
      </c>
      <c r="G30">
        <v>7.373412E-2</v>
      </c>
      <c r="M30" t="s">
        <v>45</v>
      </c>
      <c r="N30" t="s">
        <v>252</v>
      </c>
      <c r="O30" t="s">
        <v>46</v>
      </c>
      <c r="P30" t="str">
        <f t="shared" si="1"/>
        <v/>
      </c>
      <c r="R30">
        <v>10</v>
      </c>
      <c r="S30">
        <v>2.5001000000000051E-3</v>
      </c>
      <c r="T30">
        <v>0.27938960000000002</v>
      </c>
      <c r="V30">
        <f>Tabela2[[#This Row],[mass-flow-rate]]/2</f>
        <v>0.13969480000000001</v>
      </c>
      <c r="X30">
        <f>V48</f>
        <v>0.1944823</v>
      </c>
    </row>
    <row r="31" spans="2:24" x14ac:dyDescent="0.25">
      <c r="B31">
        <v>0.3075</v>
      </c>
      <c r="C31">
        <v>2.484983E-2</v>
      </c>
      <c r="D31">
        <f t="shared" si="0"/>
        <v>7.5003000000000153E-3</v>
      </c>
      <c r="F31">
        <v>7.5003000000000153E-3</v>
      </c>
      <c r="G31">
        <v>2.484983E-2</v>
      </c>
      <c r="K31" t="s">
        <v>47</v>
      </c>
      <c r="L31" t="s">
        <v>58</v>
      </c>
      <c r="M31" t="s">
        <v>44</v>
      </c>
      <c r="P31">
        <f t="shared" ref="P31" si="8">IF(MOD(ROW(),2)=0,"",F22)</f>
        <v>5.0002000000000102E-3</v>
      </c>
      <c r="R31">
        <v>10</v>
      </c>
      <c r="X31">
        <f>V50</f>
        <v>0.18338055</v>
      </c>
    </row>
    <row r="32" spans="2:24" x14ac:dyDescent="0.25">
      <c r="B32">
        <v>0.30777779999999999</v>
      </c>
      <c r="C32">
        <v>-2.35169E-3</v>
      </c>
      <c r="D32">
        <f t="shared" si="0"/>
        <v>7.77810000000001E-3</v>
      </c>
      <c r="F32">
        <v>7.77810000000001E-3</v>
      </c>
      <c r="G32">
        <v>-2.35169E-3</v>
      </c>
      <c r="M32" t="s">
        <v>45</v>
      </c>
      <c r="N32" t="s">
        <v>253</v>
      </c>
      <c r="O32" t="s">
        <v>46</v>
      </c>
      <c r="P32" t="str">
        <f t="shared" si="1"/>
        <v/>
      </c>
      <c r="R32">
        <v>11</v>
      </c>
      <c r="S32">
        <v>2.7778999999999998E-3</v>
      </c>
      <c r="T32">
        <v>0.30348579999999997</v>
      </c>
      <c r="V32">
        <f>Tabela2[[#This Row],[mass-flow-rate]]/2</f>
        <v>0.15174289999999999</v>
      </c>
      <c r="X32">
        <f>V52</f>
        <v>0.16725870000000001</v>
      </c>
    </row>
    <row r="33" spans="2:24" x14ac:dyDescent="0.25">
      <c r="B33">
        <v>0.30805559999999998</v>
      </c>
      <c r="C33">
        <v>-3.489153E-3</v>
      </c>
      <c r="D33">
        <f t="shared" si="0"/>
        <v>8.0559000000000047E-3</v>
      </c>
      <c r="F33">
        <v>8.0559000000000047E-3</v>
      </c>
      <c r="G33">
        <v>-3.489153E-3</v>
      </c>
      <c r="K33" t="s">
        <v>47</v>
      </c>
      <c r="L33" t="s">
        <v>59</v>
      </c>
      <c r="M33" t="s">
        <v>44</v>
      </c>
      <c r="P33">
        <f t="shared" ref="P33" si="9">IF(MOD(ROW(),2)=0,"",F23)</f>
        <v>5.2780000000000049E-3</v>
      </c>
      <c r="R33">
        <v>11</v>
      </c>
      <c r="X33">
        <f>V54</f>
        <v>0.147983</v>
      </c>
    </row>
    <row r="34" spans="2:24" x14ac:dyDescent="0.25">
      <c r="B34">
        <v>0.30833339999999998</v>
      </c>
      <c r="C34">
        <v>-2.9673540000000002E-3</v>
      </c>
      <c r="D34">
        <f t="shared" si="0"/>
        <v>8.3336999999999994E-3</v>
      </c>
      <c r="F34">
        <v>8.3336999999999994E-3</v>
      </c>
      <c r="G34">
        <v>-2.9673540000000002E-3</v>
      </c>
      <c r="M34" t="s">
        <v>45</v>
      </c>
      <c r="N34" t="s">
        <v>254</v>
      </c>
      <c r="O34" t="s">
        <v>46</v>
      </c>
      <c r="P34" t="str">
        <f t="shared" si="1"/>
        <v/>
      </c>
      <c r="R34">
        <v>12</v>
      </c>
      <c r="S34">
        <v>3.0556999999999945E-3</v>
      </c>
      <c r="T34">
        <v>0.32936149999999997</v>
      </c>
      <c r="V34">
        <f>Tabela2[[#This Row],[mass-flow-rate]]/2</f>
        <v>0.16468074999999999</v>
      </c>
      <c r="X34">
        <f>V56</f>
        <v>0.12695675000000001</v>
      </c>
    </row>
    <row r="35" spans="2:24" x14ac:dyDescent="0.25">
      <c r="B35">
        <v>0.30861119999999997</v>
      </c>
      <c r="C35">
        <v>-2.5077150000000002E-3</v>
      </c>
      <c r="D35">
        <f t="shared" si="0"/>
        <v>8.6114999999999942E-3</v>
      </c>
      <c r="F35">
        <v>8.6114999999999942E-3</v>
      </c>
      <c r="G35">
        <v>-2.5077150000000002E-3</v>
      </c>
      <c r="K35" t="s">
        <v>47</v>
      </c>
      <c r="L35" t="s">
        <v>60</v>
      </c>
      <c r="M35" t="s">
        <v>44</v>
      </c>
      <c r="P35">
        <f t="shared" ref="P35:P36" si="10">IF(MOD(ROW(),2)=0,"",F28)</f>
        <v>6.6669000000000311E-3</v>
      </c>
      <c r="R35">
        <v>12</v>
      </c>
      <c r="X35">
        <f>V58</f>
        <v>0.10520465</v>
      </c>
    </row>
    <row r="36" spans="2:24" x14ac:dyDescent="0.25">
      <c r="B36">
        <v>0.30888890000000002</v>
      </c>
      <c r="C36">
        <v>-2.2809969999999999E-3</v>
      </c>
      <c r="D36">
        <f t="shared" si="0"/>
        <v>8.8892000000000415E-3</v>
      </c>
      <c r="F36">
        <v>8.8892000000000415E-3</v>
      </c>
      <c r="G36">
        <v>-2.2809969999999999E-3</v>
      </c>
      <c r="M36" t="s">
        <v>45</v>
      </c>
      <c r="N36" t="s">
        <v>255</v>
      </c>
      <c r="O36" t="s">
        <v>46</v>
      </c>
      <c r="P36" t="str">
        <f t="shared" si="10"/>
        <v/>
      </c>
      <c r="R36">
        <v>13</v>
      </c>
      <c r="S36">
        <v>3.3335000000000448E-3</v>
      </c>
      <c r="T36">
        <v>0.35151660000000001</v>
      </c>
      <c r="V36">
        <f>Tabela2[[#This Row],[mass-flow-rate]]/2</f>
        <v>0.17575830000000001</v>
      </c>
      <c r="X36">
        <f>V60</f>
        <v>8.5923449999999998E-2</v>
      </c>
    </row>
    <row r="37" spans="2:24" x14ac:dyDescent="0.25">
      <c r="B37">
        <v>0.30916670000000002</v>
      </c>
      <c r="C37">
        <v>-1.5643059999999999E-3</v>
      </c>
      <c r="D37">
        <f t="shared" si="0"/>
        <v>9.1670000000000362E-3</v>
      </c>
      <c r="F37">
        <v>9.1670000000000362E-3</v>
      </c>
      <c r="G37">
        <v>-1.5643059999999999E-3</v>
      </c>
      <c r="K37" t="s">
        <v>47</v>
      </c>
      <c r="L37" t="s">
        <v>61</v>
      </c>
      <c r="M37" t="s">
        <v>44</v>
      </c>
      <c r="P37">
        <f t="shared" ref="P37" si="11">IF(MOD(ROW(),2)=0,"",F29)</f>
        <v>6.9447000000000259E-3</v>
      </c>
      <c r="R37">
        <v>13</v>
      </c>
      <c r="X37">
        <f>V62</f>
        <v>6.3204899999999994E-2</v>
      </c>
    </row>
    <row r="38" spans="2:24" x14ac:dyDescent="0.25">
      <c r="B38">
        <v>0.30944450000000001</v>
      </c>
      <c r="C38">
        <v>2.4925899999999999E-4</v>
      </c>
      <c r="D38">
        <f t="shared" si="0"/>
        <v>9.4448000000000309E-3</v>
      </c>
      <c r="F38">
        <v>9.4448000000000309E-3</v>
      </c>
      <c r="G38">
        <v>2.4925899999999999E-4</v>
      </c>
      <c r="M38" t="s">
        <v>45</v>
      </c>
      <c r="N38" t="s">
        <v>256</v>
      </c>
      <c r="O38" t="s">
        <v>46</v>
      </c>
      <c r="P38" t="str">
        <f t="shared" si="1"/>
        <v/>
      </c>
      <c r="R38">
        <v>14</v>
      </c>
      <c r="S38">
        <v>3.6113000000000395E-3</v>
      </c>
      <c r="T38">
        <v>0.36580380000000001</v>
      </c>
      <c r="V38">
        <f>Tabela2[[#This Row],[mass-flow-rate]]/2</f>
        <v>0.18290190000000001</v>
      </c>
      <c r="X38">
        <f>V64</f>
        <v>3.686706E-2</v>
      </c>
    </row>
    <row r="39" spans="2:24" x14ac:dyDescent="0.25">
      <c r="B39">
        <v>0.30972230000000001</v>
      </c>
      <c r="C39">
        <v>1.1998200000000001E-3</v>
      </c>
      <c r="D39">
        <f t="shared" si="0"/>
        <v>9.7226000000000257E-3</v>
      </c>
      <c r="F39">
        <v>9.7226000000000257E-3</v>
      </c>
      <c r="G39">
        <v>1.1998200000000001E-3</v>
      </c>
      <c r="K39" t="s">
        <v>47</v>
      </c>
      <c r="L39" t="s">
        <v>62</v>
      </c>
      <c r="M39" t="s">
        <v>44</v>
      </c>
      <c r="P39">
        <f t="shared" ref="P39" si="12">IF(MOD(ROW(),2)=0,"",F30)</f>
        <v>7.2225000000000206E-3</v>
      </c>
      <c r="R39">
        <v>14</v>
      </c>
      <c r="X39">
        <f>V66</f>
        <v>1.2424915E-2</v>
      </c>
    </row>
    <row r="40" spans="2:24" x14ac:dyDescent="0.25">
      <c r="B40">
        <v>0.3100001</v>
      </c>
      <c r="C40">
        <v>1.2263829999999999E-3</v>
      </c>
      <c r="D40">
        <f t="shared" si="0"/>
        <v>1.000040000000002E-2</v>
      </c>
      <c r="F40">
        <v>1.000040000000002E-2</v>
      </c>
      <c r="G40">
        <v>1.2263829999999999E-3</v>
      </c>
      <c r="M40" t="s">
        <v>45</v>
      </c>
      <c r="N40" t="s">
        <v>257</v>
      </c>
      <c r="O40" t="s">
        <v>46</v>
      </c>
      <c r="P40" t="str">
        <f t="shared" si="1"/>
        <v/>
      </c>
      <c r="R40">
        <v>15</v>
      </c>
      <c r="S40">
        <v>3.8891000000000342E-3</v>
      </c>
      <c r="T40">
        <v>0.37846590000000002</v>
      </c>
      <c r="V40">
        <f>Tabela2[[#This Row],[mass-flow-rate]]/2</f>
        <v>0.18923295000000001</v>
      </c>
      <c r="X40">
        <v>0</v>
      </c>
    </row>
    <row r="41" spans="2:24" x14ac:dyDescent="0.25">
      <c r="B41">
        <v>0.3102779</v>
      </c>
      <c r="C41">
        <v>9.0500599999999997E-4</v>
      </c>
      <c r="D41">
        <f t="shared" si="0"/>
        <v>1.0278200000000015E-2</v>
      </c>
      <c r="F41">
        <v>1.0278200000000015E-2</v>
      </c>
      <c r="G41">
        <v>9.0500599999999997E-4</v>
      </c>
      <c r="K41" t="s">
        <v>47</v>
      </c>
      <c r="L41" t="s">
        <v>63</v>
      </c>
      <c r="M41" t="s">
        <v>44</v>
      </c>
      <c r="P41">
        <f t="shared" ref="P41" si="13">IF(MOD(ROW(),2)=0,"",F31)</f>
        <v>7.5003000000000153E-3</v>
      </c>
      <c r="R41">
        <v>15</v>
      </c>
    </row>
    <row r="42" spans="2:24" x14ac:dyDescent="0.25">
      <c r="B42">
        <v>0.31055569999999999</v>
      </c>
      <c r="C42">
        <v>6.5506289999999997E-4</v>
      </c>
      <c r="D42">
        <f t="shared" si="0"/>
        <v>1.055600000000001E-2</v>
      </c>
      <c r="F42">
        <v>1.055600000000001E-2</v>
      </c>
      <c r="G42">
        <v>6.5506289999999997E-4</v>
      </c>
      <c r="M42" t="s">
        <v>45</v>
      </c>
      <c r="N42" t="s">
        <v>258</v>
      </c>
      <c r="O42" t="s">
        <v>46</v>
      </c>
      <c r="P42" t="str">
        <f t="shared" si="1"/>
        <v/>
      </c>
      <c r="R42">
        <v>16</v>
      </c>
      <c r="S42">
        <v>4.1669000000000289E-3</v>
      </c>
      <c r="T42">
        <v>0.39053169999999998</v>
      </c>
      <c r="V42">
        <f>Tabela2[[#This Row],[mass-flow-rate]]/2</f>
        <v>0.19526584999999999</v>
      </c>
    </row>
    <row r="43" spans="2:24" x14ac:dyDescent="0.25">
      <c r="B43">
        <v>0.31083349999999998</v>
      </c>
      <c r="C43">
        <v>5.2454970000000004E-4</v>
      </c>
      <c r="D43">
        <f t="shared" si="0"/>
        <v>1.0833800000000005E-2</v>
      </c>
      <c r="F43">
        <v>1.0833800000000005E-2</v>
      </c>
      <c r="G43">
        <v>5.2454970000000004E-4</v>
      </c>
      <c r="K43" t="s">
        <v>47</v>
      </c>
      <c r="L43" t="s">
        <v>64</v>
      </c>
      <c r="M43" t="s">
        <v>44</v>
      </c>
      <c r="P43">
        <f t="shared" ref="P43:P44" si="14">IF(MOD(ROW(),2)=0,"",F36)</f>
        <v>8.8892000000000415E-3</v>
      </c>
      <c r="R43">
        <v>16</v>
      </c>
    </row>
    <row r="44" spans="2:24" x14ac:dyDescent="0.25">
      <c r="B44">
        <v>0.31111119999999998</v>
      </c>
      <c r="C44">
        <v>4.6247770000000001E-4</v>
      </c>
      <c r="D44">
        <f t="shared" si="0"/>
        <v>1.1111499999999996E-2</v>
      </c>
      <c r="F44">
        <v>1.1111499999999996E-2</v>
      </c>
      <c r="G44">
        <v>4.6247770000000001E-4</v>
      </c>
      <c r="M44" t="s">
        <v>45</v>
      </c>
      <c r="N44" t="s">
        <v>259</v>
      </c>
      <c r="O44" t="s">
        <v>46</v>
      </c>
      <c r="P44" t="str">
        <f t="shared" si="14"/>
        <v/>
      </c>
      <c r="R44">
        <v>17</v>
      </c>
      <c r="S44">
        <v>4.4446000000000208E-3</v>
      </c>
      <c r="T44">
        <v>0.39853329999999998</v>
      </c>
      <c r="V44">
        <f>Tabela2[[#This Row],[mass-flow-rate]]/2</f>
        <v>0.19926664999999999</v>
      </c>
    </row>
    <row r="45" spans="2:24" x14ac:dyDescent="0.25">
      <c r="B45">
        <v>0.31138900000000003</v>
      </c>
      <c r="C45">
        <v>4.1488309999999999E-4</v>
      </c>
      <c r="D45">
        <f t="shared" si="0"/>
        <v>1.1389300000000047E-2</v>
      </c>
      <c r="F45">
        <v>1.1389300000000047E-2</v>
      </c>
      <c r="G45">
        <v>4.1488309999999999E-4</v>
      </c>
      <c r="K45" t="s">
        <v>47</v>
      </c>
      <c r="L45" t="s">
        <v>65</v>
      </c>
      <c r="M45" t="s">
        <v>44</v>
      </c>
      <c r="P45">
        <f t="shared" ref="P45" si="15">IF(MOD(ROW(),2)=0,"",F37)</f>
        <v>9.1670000000000362E-3</v>
      </c>
      <c r="R45">
        <v>17</v>
      </c>
    </row>
    <row r="46" spans="2:24" x14ac:dyDescent="0.25">
      <c r="B46">
        <v>0.31166680000000002</v>
      </c>
      <c r="C46">
        <v>4.1832149999999999E-4</v>
      </c>
      <c r="D46">
        <f t="shared" si="0"/>
        <v>1.1667100000000041E-2</v>
      </c>
      <c r="F46">
        <v>1.1667100000000041E-2</v>
      </c>
      <c r="G46">
        <v>4.1832149999999999E-4</v>
      </c>
      <c r="M46" t="s">
        <v>45</v>
      </c>
      <c r="N46" t="s">
        <v>260</v>
      </c>
      <c r="O46" t="s">
        <v>46</v>
      </c>
      <c r="P46" t="str">
        <f t="shared" si="1"/>
        <v/>
      </c>
      <c r="R46">
        <v>18</v>
      </c>
      <c r="S46">
        <v>4.7224000000000155E-3</v>
      </c>
      <c r="T46">
        <v>0.3973293</v>
      </c>
      <c r="V46">
        <f>Tabela2[[#This Row],[mass-flow-rate]]/2</f>
        <v>0.19866465</v>
      </c>
    </row>
    <row r="47" spans="2:24" x14ac:dyDescent="0.25">
      <c r="B47">
        <v>0.31194460000000002</v>
      </c>
      <c r="C47">
        <v>5.3416110000000004E-4</v>
      </c>
      <c r="D47">
        <f t="shared" si="0"/>
        <v>1.1944900000000036E-2</v>
      </c>
      <c r="F47">
        <v>1.1944900000000036E-2</v>
      </c>
      <c r="G47">
        <v>5.3416110000000004E-4</v>
      </c>
      <c r="K47" t="s">
        <v>47</v>
      </c>
      <c r="L47" t="s">
        <v>66</v>
      </c>
      <c r="M47" t="s">
        <v>44</v>
      </c>
      <c r="P47">
        <f t="shared" ref="P47" si="16">IF(MOD(ROW(),2)=0,"",F38)</f>
        <v>9.4448000000000309E-3</v>
      </c>
      <c r="R47">
        <v>18</v>
      </c>
    </row>
    <row r="48" spans="2:24" x14ac:dyDescent="0.25">
      <c r="B48">
        <v>0.31222240000000001</v>
      </c>
      <c r="C48">
        <v>8.3847399999999997E-4</v>
      </c>
      <c r="D48">
        <f t="shared" si="0"/>
        <v>1.2222700000000031E-2</v>
      </c>
      <c r="F48">
        <v>1.2222700000000031E-2</v>
      </c>
      <c r="G48">
        <v>8.3847399999999997E-4</v>
      </c>
      <c r="M48" t="s">
        <v>45</v>
      </c>
      <c r="N48" t="s">
        <v>261</v>
      </c>
      <c r="O48" t="s">
        <v>46</v>
      </c>
      <c r="P48" t="str">
        <f t="shared" si="1"/>
        <v/>
      </c>
      <c r="R48">
        <v>19</v>
      </c>
      <c r="S48">
        <v>5.0002000000000102E-3</v>
      </c>
      <c r="T48">
        <v>0.38896459999999999</v>
      </c>
      <c r="V48">
        <f>Tabela2[[#This Row],[mass-flow-rate]]/2</f>
        <v>0.1944823</v>
      </c>
      <c r="X48">
        <f>V60</f>
        <v>8.5923449999999998E-2</v>
      </c>
    </row>
    <row r="49" spans="2:24" x14ac:dyDescent="0.25">
      <c r="B49">
        <v>0.31250020000000001</v>
      </c>
      <c r="C49">
        <v>1.441419E-3</v>
      </c>
      <c r="D49">
        <f t="shared" si="0"/>
        <v>1.2500500000000025E-2</v>
      </c>
      <c r="F49">
        <v>1.2500500000000025E-2</v>
      </c>
      <c r="G49">
        <v>1.441419E-3</v>
      </c>
      <c r="K49" t="s">
        <v>47</v>
      </c>
      <c r="L49" t="s">
        <v>67</v>
      </c>
      <c r="M49" t="s">
        <v>44</v>
      </c>
      <c r="P49">
        <f t="shared" ref="P49" si="17">IF(MOD(ROW(),2)=0,"",F39)</f>
        <v>9.7226000000000257E-3</v>
      </c>
      <c r="R49">
        <v>19</v>
      </c>
      <c r="X49">
        <f>V62</f>
        <v>6.3204899999999994E-2</v>
      </c>
    </row>
    <row r="50" spans="2:24" x14ac:dyDescent="0.25">
      <c r="B50">
        <v>0.312778</v>
      </c>
      <c r="C50">
        <v>2.4545499999999998E-3</v>
      </c>
      <c r="D50">
        <f t="shared" si="0"/>
        <v>1.277830000000002E-2</v>
      </c>
      <c r="F50">
        <v>1.277830000000002E-2</v>
      </c>
      <c r="G50">
        <v>2.4545499999999998E-3</v>
      </c>
      <c r="M50" t="s">
        <v>45</v>
      </c>
      <c r="N50" t="s">
        <v>262</v>
      </c>
      <c r="O50" t="s">
        <v>46</v>
      </c>
      <c r="P50" t="str">
        <f t="shared" si="1"/>
        <v/>
      </c>
      <c r="R50">
        <v>20</v>
      </c>
      <c r="S50">
        <v>5.2780000000000049E-3</v>
      </c>
      <c r="T50">
        <v>0.36676110000000001</v>
      </c>
      <c r="V50">
        <f>Tabela2[[#This Row],[mass-flow-rate]]/2</f>
        <v>0.18338055</v>
      </c>
      <c r="X50">
        <f>V64</f>
        <v>3.686706E-2</v>
      </c>
    </row>
    <row r="51" spans="2:24" x14ac:dyDescent="0.25">
      <c r="B51">
        <v>0.3130558</v>
      </c>
      <c r="C51">
        <v>2.7009310000000002E-3</v>
      </c>
      <c r="D51">
        <f t="shared" si="0"/>
        <v>1.3056100000000015E-2</v>
      </c>
      <c r="F51">
        <v>1.3056100000000015E-2</v>
      </c>
      <c r="G51">
        <v>2.7009310000000002E-3</v>
      </c>
      <c r="K51" t="s">
        <v>47</v>
      </c>
      <c r="L51" t="s">
        <v>68</v>
      </c>
      <c r="M51" t="s">
        <v>44</v>
      </c>
      <c r="P51">
        <f t="shared" ref="P51:P52" si="18">IF(MOD(ROW(),2)=0,"",F44)</f>
        <v>1.1111499999999996E-2</v>
      </c>
      <c r="R51">
        <v>20</v>
      </c>
      <c r="X51">
        <f>V66</f>
        <v>1.2424915E-2</v>
      </c>
    </row>
    <row r="52" spans="2:24" x14ac:dyDescent="0.25">
      <c r="B52">
        <v>0.31333349999999999</v>
      </c>
      <c r="C52">
        <v>2.1317300000000001E-3</v>
      </c>
      <c r="D52">
        <f t="shared" si="0"/>
        <v>1.3333800000000007E-2</v>
      </c>
      <c r="F52">
        <v>1.3333800000000007E-2</v>
      </c>
      <c r="G52">
        <v>2.1317300000000001E-3</v>
      </c>
      <c r="M52" t="s">
        <v>45</v>
      </c>
      <c r="N52" t="s">
        <v>263</v>
      </c>
      <c r="O52" t="s">
        <v>46</v>
      </c>
      <c r="P52" t="str">
        <f t="shared" si="18"/>
        <v/>
      </c>
      <c r="R52">
        <v>21</v>
      </c>
      <c r="S52">
        <v>5.5557999999999996E-3</v>
      </c>
      <c r="T52">
        <v>0.33451740000000002</v>
      </c>
      <c r="V52">
        <f>Tabela2[[#This Row],[mass-flow-rate]]/2</f>
        <v>0.16725870000000001</v>
      </c>
      <c r="X52">
        <f>V68</f>
        <v>-1.175845E-3</v>
      </c>
    </row>
    <row r="53" spans="2:24" x14ac:dyDescent="0.25">
      <c r="B53">
        <v>0.31361129999999998</v>
      </c>
      <c r="C53">
        <v>1.3621600000000001E-3</v>
      </c>
      <c r="D53">
        <f t="shared" si="0"/>
        <v>1.3611600000000001E-2</v>
      </c>
      <c r="F53">
        <v>1.3611600000000001E-2</v>
      </c>
      <c r="G53">
        <v>1.3621600000000001E-3</v>
      </c>
      <c r="K53" t="s">
        <v>47</v>
      </c>
      <c r="L53" t="s">
        <v>69</v>
      </c>
      <c r="M53" t="s">
        <v>44</v>
      </c>
      <c r="P53">
        <f t="shared" ref="P53" si="19">IF(MOD(ROW(),2)=0,"",F45)</f>
        <v>1.1389300000000047E-2</v>
      </c>
      <c r="R53">
        <v>21</v>
      </c>
      <c r="X53">
        <f>V70</f>
        <v>-1.7445765E-3</v>
      </c>
    </row>
    <row r="54" spans="2:24" x14ac:dyDescent="0.25">
      <c r="B54">
        <v>0.31388909999999998</v>
      </c>
      <c r="C54">
        <v>5.9103080000000004E-4</v>
      </c>
      <c r="D54">
        <f t="shared" si="0"/>
        <v>1.3889399999999996E-2</v>
      </c>
      <c r="F54">
        <v>1.3889399999999996E-2</v>
      </c>
      <c r="G54">
        <v>5.9103080000000004E-4</v>
      </c>
      <c r="M54" t="s">
        <v>45</v>
      </c>
      <c r="N54" t="s">
        <v>264</v>
      </c>
      <c r="O54" t="s">
        <v>46</v>
      </c>
      <c r="P54" t="str">
        <f t="shared" si="1"/>
        <v/>
      </c>
      <c r="R54">
        <v>22</v>
      </c>
      <c r="S54">
        <v>5.8335999999999943E-3</v>
      </c>
      <c r="T54">
        <v>0.29596600000000001</v>
      </c>
      <c r="V54">
        <f>Tabela2[[#This Row],[mass-flow-rate]]/2</f>
        <v>0.147983</v>
      </c>
      <c r="X54">
        <f>V72</f>
        <v>-1.4836770000000001E-3</v>
      </c>
    </row>
    <row r="55" spans="2:24" x14ac:dyDescent="0.25">
      <c r="B55">
        <v>0.31416690000000003</v>
      </c>
      <c r="C55">
        <v>-2.2742079999999999E-4</v>
      </c>
      <c r="D55">
        <f t="shared" si="0"/>
        <v>1.4167200000000046E-2</v>
      </c>
      <c r="F55">
        <v>1.4167200000000046E-2</v>
      </c>
      <c r="G55">
        <v>-2.2742079999999999E-4</v>
      </c>
      <c r="K55" t="s">
        <v>47</v>
      </c>
      <c r="L55" t="s">
        <v>70</v>
      </c>
      <c r="M55" t="s">
        <v>44</v>
      </c>
      <c r="P55">
        <f t="shared" ref="P55" si="20">IF(MOD(ROW(),2)=0,"",F46)</f>
        <v>1.1667100000000041E-2</v>
      </c>
      <c r="R55">
        <v>22</v>
      </c>
      <c r="X55">
        <f>V74</f>
        <v>-1.2538575000000001E-3</v>
      </c>
    </row>
    <row r="56" spans="2:24" x14ac:dyDescent="0.25">
      <c r="B56">
        <v>0.31444470000000002</v>
      </c>
      <c r="C56">
        <v>-7.4843860000000002E-4</v>
      </c>
      <c r="D56">
        <f t="shared" si="0"/>
        <v>1.4445000000000041E-2</v>
      </c>
      <c r="F56">
        <v>1.4445000000000041E-2</v>
      </c>
      <c r="G56">
        <v>-7.4843860000000002E-4</v>
      </c>
      <c r="M56" t="s">
        <v>45</v>
      </c>
      <c r="N56" t="s">
        <v>265</v>
      </c>
      <c r="O56" t="s">
        <v>46</v>
      </c>
      <c r="P56" t="str">
        <f t="shared" si="1"/>
        <v/>
      </c>
      <c r="R56">
        <v>23</v>
      </c>
      <c r="S56">
        <v>6.1114000000000446E-3</v>
      </c>
      <c r="T56">
        <v>0.25391350000000001</v>
      </c>
      <c r="V56">
        <f>Tabela2[[#This Row],[mass-flow-rate]]/2</f>
        <v>0.12695675000000001</v>
      </c>
      <c r="X56">
        <f>V76</f>
        <v>-1.1404984999999999E-3</v>
      </c>
    </row>
    <row r="57" spans="2:24" x14ac:dyDescent="0.25">
      <c r="B57">
        <v>0.31472250000000002</v>
      </c>
      <c r="C57">
        <v>-1.185356E-3</v>
      </c>
      <c r="D57">
        <f t="shared" si="0"/>
        <v>1.4722800000000036E-2</v>
      </c>
      <c r="F57">
        <v>1.4722800000000036E-2</v>
      </c>
      <c r="G57">
        <v>-1.185356E-3</v>
      </c>
      <c r="K57" t="s">
        <v>47</v>
      </c>
      <c r="L57" t="s">
        <v>71</v>
      </c>
      <c r="M57" t="s">
        <v>44</v>
      </c>
      <c r="P57">
        <f t="shared" ref="P57" si="21">IF(MOD(ROW(),2)=0,"",F47)</f>
        <v>1.1944900000000036E-2</v>
      </c>
      <c r="R57">
        <v>23</v>
      </c>
      <c r="X57">
        <f>V78</f>
        <v>-7.8215299999999995E-4</v>
      </c>
    </row>
    <row r="58" spans="2:24" x14ac:dyDescent="0.25">
      <c r="B58">
        <v>0.31500030000000001</v>
      </c>
      <c r="C58">
        <v>-1.686019E-3</v>
      </c>
      <c r="D58">
        <f t="shared" si="0"/>
        <v>1.5000600000000031E-2</v>
      </c>
      <c r="F58">
        <v>1.5000600000000031E-2</v>
      </c>
      <c r="G58">
        <v>-1.686019E-3</v>
      </c>
      <c r="M58" t="s">
        <v>45</v>
      </c>
      <c r="N58" t="s">
        <v>266</v>
      </c>
      <c r="O58" t="s">
        <v>46</v>
      </c>
      <c r="P58" t="str">
        <f t="shared" si="1"/>
        <v/>
      </c>
      <c r="R58">
        <v>24</v>
      </c>
      <c r="S58">
        <v>6.3892000000000393E-3</v>
      </c>
      <c r="T58">
        <v>0.21040929999999999</v>
      </c>
      <c r="V58">
        <f>Tabela2[[#This Row],[mass-flow-rate]]/2</f>
        <v>0.10520465</v>
      </c>
      <c r="X58">
        <f>V80</f>
        <v>1.246295E-4</v>
      </c>
    </row>
    <row r="59" spans="2:24" x14ac:dyDescent="0.25">
      <c r="B59">
        <v>0.31527810000000001</v>
      </c>
      <c r="C59">
        <v>-1.700883E-3</v>
      </c>
      <c r="D59">
        <f t="shared" si="0"/>
        <v>1.5278400000000025E-2</v>
      </c>
      <c r="F59">
        <v>1.5278400000000025E-2</v>
      </c>
      <c r="G59">
        <v>-1.700883E-3</v>
      </c>
      <c r="K59" t="s">
        <v>47</v>
      </c>
      <c r="L59" t="s">
        <v>72</v>
      </c>
      <c r="M59" t="s">
        <v>44</v>
      </c>
      <c r="P59">
        <f t="shared" ref="P59:P60" si="22">IF(MOD(ROW(),2)=0,"",F52)</f>
        <v>1.3333800000000007E-2</v>
      </c>
      <c r="R59">
        <v>24</v>
      </c>
      <c r="X59">
        <f>V82</f>
        <v>5.9991000000000005E-4</v>
      </c>
    </row>
    <row r="60" spans="2:24" x14ac:dyDescent="0.25">
      <c r="B60">
        <v>0.3155558</v>
      </c>
      <c r="C60">
        <v>-1.29729E-3</v>
      </c>
      <c r="D60">
        <f t="shared" si="0"/>
        <v>1.5556100000000017E-2</v>
      </c>
      <c r="F60">
        <v>1.5556100000000017E-2</v>
      </c>
      <c r="G60">
        <v>-1.29729E-3</v>
      </c>
      <c r="M60" t="s">
        <v>45</v>
      </c>
      <c r="N60" t="s">
        <v>267</v>
      </c>
      <c r="O60" t="s">
        <v>46</v>
      </c>
      <c r="P60" t="str">
        <f t="shared" si="22"/>
        <v/>
      </c>
      <c r="R60">
        <v>25</v>
      </c>
      <c r="S60">
        <v>6.6669000000000311E-3</v>
      </c>
      <c r="T60">
        <v>0.1718469</v>
      </c>
      <c r="V60">
        <f>Tabela2[[#This Row],[mass-flow-rate]]/2</f>
        <v>8.5923449999999998E-2</v>
      </c>
      <c r="X60">
        <f>V72</f>
        <v>-1.4836770000000001E-3</v>
      </c>
    </row>
    <row r="61" spans="2:24" x14ac:dyDescent="0.25">
      <c r="B61">
        <v>0.31583359999999999</v>
      </c>
      <c r="C61">
        <v>-7.2222140000000002E-4</v>
      </c>
      <c r="D61">
        <f t="shared" si="0"/>
        <v>1.5833900000000012E-2</v>
      </c>
      <c r="F61">
        <v>1.5833900000000012E-2</v>
      </c>
      <c r="G61">
        <v>-7.2222140000000002E-4</v>
      </c>
      <c r="K61" t="s">
        <v>47</v>
      </c>
      <c r="L61" t="s">
        <v>73</v>
      </c>
      <c r="M61" t="s">
        <v>44</v>
      </c>
      <c r="P61">
        <f t="shared" ref="P61" si="23">IF(MOD(ROW(),2)=0,"",F53)</f>
        <v>1.3611600000000001E-2</v>
      </c>
      <c r="R61">
        <v>25</v>
      </c>
      <c r="X61">
        <f>V74</f>
        <v>-1.2538575000000001E-3</v>
      </c>
    </row>
    <row r="62" spans="2:24" x14ac:dyDescent="0.25">
      <c r="B62">
        <v>0.31611139999999999</v>
      </c>
      <c r="C62">
        <v>-1.044077E-4</v>
      </c>
      <c r="D62">
        <f t="shared" si="0"/>
        <v>1.6111700000000007E-2</v>
      </c>
      <c r="F62">
        <v>1.6111700000000007E-2</v>
      </c>
      <c r="G62">
        <v>-1.044077E-4</v>
      </c>
      <c r="M62" t="s">
        <v>45</v>
      </c>
      <c r="N62" t="s">
        <v>268</v>
      </c>
      <c r="O62" t="s">
        <v>46</v>
      </c>
      <c r="P62" t="str">
        <f t="shared" si="1"/>
        <v/>
      </c>
      <c r="R62">
        <v>26</v>
      </c>
      <c r="S62">
        <v>6.9447000000000259E-3</v>
      </c>
      <c r="T62">
        <v>0.12640979999999999</v>
      </c>
      <c r="V62">
        <f>Tabela2[[#This Row],[mass-flow-rate]]/2</f>
        <v>6.3204899999999994E-2</v>
      </c>
      <c r="X62">
        <f>V76</f>
        <v>-1.1404984999999999E-3</v>
      </c>
    </row>
    <row r="63" spans="2:24" x14ac:dyDescent="0.25">
      <c r="B63">
        <v>0.31638919999999998</v>
      </c>
      <c r="C63">
        <v>4.0257509999999999E-4</v>
      </c>
      <c r="D63">
        <f t="shared" si="0"/>
        <v>1.6389500000000001E-2</v>
      </c>
      <c r="F63">
        <v>1.6389500000000001E-2</v>
      </c>
      <c r="G63">
        <v>4.0257509999999999E-4</v>
      </c>
      <c r="K63" t="s">
        <v>47</v>
      </c>
      <c r="L63" t="s">
        <v>74</v>
      </c>
      <c r="M63" t="s">
        <v>44</v>
      </c>
      <c r="P63">
        <f t="shared" ref="P63" si="24">IF(MOD(ROW(),2)=0,"",F54)</f>
        <v>1.3889399999999996E-2</v>
      </c>
      <c r="R63">
        <v>26</v>
      </c>
      <c r="X63">
        <f>V78</f>
        <v>-7.8215299999999995E-4</v>
      </c>
    </row>
    <row r="64" spans="2:24" x14ac:dyDescent="0.25">
      <c r="B64">
        <v>0.31666699999999998</v>
      </c>
      <c r="C64">
        <v>7.6949609999999997E-4</v>
      </c>
      <c r="D64">
        <f t="shared" si="0"/>
        <v>1.6667299999999996E-2</v>
      </c>
      <c r="F64">
        <v>1.6667299999999996E-2</v>
      </c>
      <c r="G64">
        <v>7.6949609999999997E-4</v>
      </c>
      <c r="M64" t="s">
        <v>45</v>
      </c>
      <c r="N64" t="s">
        <v>269</v>
      </c>
      <c r="O64" t="s">
        <v>46</v>
      </c>
      <c r="P64" t="str">
        <f t="shared" si="1"/>
        <v/>
      </c>
      <c r="R64">
        <v>27</v>
      </c>
      <c r="S64">
        <v>7.2225000000000206E-3</v>
      </c>
      <c r="T64">
        <v>7.373412E-2</v>
      </c>
      <c r="V64">
        <f>Tabela2[[#This Row],[mass-flow-rate]]/2</f>
        <v>3.686706E-2</v>
      </c>
      <c r="X64">
        <f>V80</f>
        <v>1.246295E-4</v>
      </c>
    </row>
    <row r="65" spans="2:24" x14ac:dyDescent="0.25">
      <c r="B65">
        <v>0.31694480000000003</v>
      </c>
      <c r="C65">
        <v>7.6079139999999995E-4</v>
      </c>
      <c r="D65">
        <f t="shared" si="0"/>
        <v>1.6945100000000046E-2</v>
      </c>
      <c r="F65">
        <v>1.6945100000000046E-2</v>
      </c>
      <c r="G65">
        <v>7.6079139999999995E-4</v>
      </c>
      <c r="K65" t="s">
        <v>47</v>
      </c>
      <c r="L65" t="s">
        <v>75</v>
      </c>
      <c r="M65" t="s">
        <v>44</v>
      </c>
      <c r="P65">
        <f>IF(MOD(ROW(),2)=0,"",F55)</f>
        <v>1.4167200000000046E-2</v>
      </c>
      <c r="R65">
        <v>27</v>
      </c>
      <c r="X65">
        <f>V82</f>
        <v>5.9991000000000005E-4</v>
      </c>
    </row>
    <row r="66" spans="2:24" x14ac:dyDescent="0.25">
      <c r="B66">
        <v>0.31722260000000002</v>
      </c>
      <c r="C66">
        <v>3.0813539999999999E-4</v>
      </c>
      <c r="D66">
        <f t="shared" si="0"/>
        <v>1.7222900000000041E-2</v>
      </c>
      <c r="F66">
        <v>1.7222900000000041E-2</v>
      </c>
      <c r="G66">
        <v>3.0813539999999999E-4</v>
      </c>
      <c r="M66" t="s">
        <v>45</v>
      </c>
      <c r="N66" t="s">
        <v>270</v>
      </c>
      <c r="O66" t="s">
        <v>46</v>
      </c>
      <c r="P66" t="str">
        <f t="shared" si="1"/>
        <v/>
      </c>
      <c r="R66">
        <v>28</v>
      </c>
      <c r="S66">
        <v>7.5003000000000153E-3</v>
      </c>
      <c r="T66">
        <v>2.484983E-2</v>
      </c>
      <c r="V66">
        <f>Tabela2[[#This Row],[mass-flow-rate]]/2</f>
        <v>1.2424915E-2</v>
      </c>
      <c r="X66">
        <f>V84</f>
        <v>6.1319149999999997E-4</v>
      </c>
    </row>
    <row r="67" spans="2:24" x14ac:dyDescent="0.25">
      <c r="B67">
        <v>0.31750040000000002</v>
      </c>
      <c r="C67">
        <v>-4.9447219999999999E-4</v>
      </c>
      <c r="D67">
        <f t="shared" si="0"/>
        <v>1.7500700000000036E-2</v>
      </c>
      <c r="F67">
        <v>1.7500700000000036E-2</v>
      </c>
      <c r="G67">
        <v>-4.9447219999999999E-4</v>
      </c>
      <c r="K67" t="s">
        <v>47</v>
      </c>
      <c r="L67" t="s">
        <v>76</v>
      </c>
      <c r="M67" t="s">
        <v>44</v>
      </c>
      <c r="P67">
        <f>IF(MOD(ROW(),2)=0,"",F60)</f>
        <v>1.5556100000000017E-2</v>
      </c>
      <c r="R67">
        <v>28</v>
      </c>
      <c r="X67">
        <f>V86</f>
        <v>4.5250299999999999E-4</v>
      </c>
    </row>
    <row r="68" spans="2:24" x14ac:dyDescent="0.25">
      <c r="B68">
        <v>0.31777810000000001</v>
      </c>
      <c r="C68">
        <v>-1.4150829999999999E-3</v>
      </c>
      <c r="D68">
        <f t="shared" si="0"/>
        <v>1.7778400000000028E-2</v>
      </c>
      <c r="F68">
        <v>1.7778400000000028E-2</v>
      </c>
      <c r="G68">
        <v>-1.4150829999999999E-3</v>
      </c>
      <c r="M68" t="s">
        <v>45</v>
      </c>
      <c r="N68" t="s">
        <v>242</v>
      </c>
      <c r="O68" t="s">
        <v>46</v>
      </c>
      <c r="P68" t="str">
        <f t="shared" ref="P68" si="25">IF(MOD(ROW(),2)=0,"",F61)</f>
        <v/>
      </c>
      <c r="R68">
        <v>29</v>
      </c>
      <c r="S68">
        <v>7.77810000000001E-3</v>
      </c>
      <c r="T68">
        <v>-2.35169E-3</v>
      </c>
      <c r="V68">
        <f>Tabela2[[#This Row],[mass-flow-rate]]/2</f>
        <v>-1.175845E-3</v>
      </c>
      <c r="X68">
        <f>V88</f>
        <v>3.2753144999999998E-4</v>
      </c>
    </row>
    <row r="69" spans="2:24" x14ac:dyDescent="0.25">
      <c r="B69">
        <v>0.3180559</v>
      </c>
      <c r="C69">
        <v>-1.8180830000000001E-3</v>
      </c>
      <c r="D69">
        <f t="shared" ref="D69:D132" si="26">B69-$B$4</f>
        <v>1.8056200000000022E-2</v>
      </c>
      <c r="F69">
        <v>1.8056200000000022E-2</v>
      </c>
      <c r="G69">
        <v>-1.8180830000000001E-3</v>
      </c>
      <c r="K69" t="s">
        <v>47</v>
      </c>
      <c r="L69" t="s">
        <v>77</v>
      </c>
      <c r="M69" t="s">
        <v>44</v>
      </c>
      <c r="P69">
        <f t="shared" ref="P69" si="27">IF(MOD(ROW(),2)=0,"",F61)</f>
        <v>1.5833900000000012E-2</v>
      </c>
      <c r="R69">
        <v>29</v>
      </c>
      <c r="X69">
        <f>V90</f>
        <v>2.6227485000000002E-4</v>
      </c>
    </row>
    <row r="70" spans="2:24" x14ac:dyDescent="0.25">
      <c r="B70">
        <v>0.3183337</v>
      </c>
      <c r="C70">
        <v>-1.5383619999999999E-3</v>
      </c>
      <c r="D70">
        <f t="shared" si="26"/>
        <v>1.8334000000000017E-2</v>
      </c>
      <c r="F70">
        <v>1.8334000000000017E-2</v>
      </c>
      <c r="G70">
        <v>-1.5383619999999999E-3</v>
      </c>
      <c r="M70" t="s">
        <v>45</v>
      </c>
      <c r="N70" t="s">
        <v>242</v>
      </c>
      <c r="O70" t="s">
        <v>46</v>
      </c>
      <c r="P70" t="str">
        <f t="shared" si="1"/>
        <v/>
      </c>
      <c r="R70">
        <v>30</v>
      </c>
      <c r="S70">
        <v>8.0559000000000047E-3</v>
      </c>
      <c r="T70">
        <v>-3.489153E-3</v>
      </c>
      <c r="V70">
        <f>Tabela2[[#This Row],[mass-flow-rate]]/2</f>
        <v>-1.7445765E-3</v>
      </c>
      <c r="X70">
        <f>V92</f>
        <v>2.3123885E-4</v>
      </c>
    </row>
    <row r="71" spans="2:24" x14ac:dyDescent="0.25">
      <c r="B71">
        <v>0.31861149999999999</v>
      </c>
      <c r="C71">
        <v>-1.0549069999999999E-3</v>
      </c>
      <c r="D71">
        <f t="shared" si="26"/>
        <v>1.8611800000000012E-2</v>
      </c>
      <c r="F71">
        <v>1.8611800000000012E-2</v>
      </c>
      <c r="G71">
        <v>-1.0549069999999999E-3</v>
      </c>
      <c r="K71" t="s">
        <v>47</v>
      </c>
      <c r="L71" t="s">
        <v>78</v>
      </c>
      <c r="M71" t="s">
        <v>44</v>
      </c>
      <c r="P71">
        <f t="shared" ref="P71" si="28">IF(MOD(ROW(),2)=0,"",F62)</f>
        <v>1.6111700000000007E-2</v>
      </c>
      <c r="R71">
        <v>30</v>
      </c>
      <c r="X71">
        <f>V94</f>
        <v>2.0744154999999999E-4</v>
      </c>
    </row>
    <row r="72" spans="2:24" x14ac:dyDescent="0.25">
      <c r="B72">
        <v>0.31888929999999999</v>
      </c>
      <c r="C72">
        <v>-5.5336250000000001E-4</v>
      </c>
      <c r="D72">
        <f t="shared" si="26"/>
        <v>1.8889600000000006E-2</v>
      </c>
      <c r="F72">
        <v>1.8889600000000006E-2</v>
      </c>
      <c r="G72">
        <v>-5.5336250000000001E-4</v>
      </c>
      <c r="M72" t="s">
        <v>45</v>
      </c>
      <c r="N72" t="s">
        <v>242</v>
      </c>
      <c r="O72" t="s">
        <v>46</v>
      </c>
      <c r="P72" t="str">
        <f t="shared" si="1"/>
        <v/>
      </c>
      <c r="R72">
        <v>31</v>
      </c>
      <c r="S72">
        <v>8.3336999999999994E-3</v>
      </c>
      <c r="T72">
        <v>-2.9673540000000002E-3</v>
      </c>
      <c r="V72">
        <f>Tabela2[[#This Row],[mass-flow-rate]]/2</f>
        <v>-1.4836770000000001E-3</v>
      </c>
      <c r="X72">
        <f>V84</f>
        <v>6.1319149999999997E-4</v>
      </c>
    </row>
    <row r="73" spans="2:24" x14ac:dyDescent="0.25">
      <c r="B73">
        <v>0.31916709999999998</v>
      </c>
      <c r="C73">
        <v>-9.2900690000000002E-5</v>
      </c>
      <c r="D73">
        <f t="shared" si="26"/>
        <v>1.9167400000000001E-2</v>
      </c>
      <c r="F73">
        <v>1.9167400000000001E-2</v>
      </c>
      <c r="G73">
        <v>-9.2900690000000002E-5</v>
      </c>
      <c r="K73" t="s">
        <v>47</v>
      </c>
      <c r="L73" t="s">
        <v>79</v>
      </c>
      <c r="M73" t="s">
        <v>44</v>
      </c>
      <c r="P73">
        <f t="shared" ref="P73" si="29">IF(MOD(ROW(),2)=0,"",F63)</f>
        <v>1.6389500000000001E-2</v>
      </c>
      <c r="R73">
        <v>31</v>
      </c>
      <c r="X73">
        <f>V86</f>
        <v>4.5250299999999999E-4</v>
      </c>
    </row>
    <row r="74" spans="2:24" x14ac:dyDescent="0.25">
      <c r="B74">
        <v>0.31944489999999998</v>
      </c>
      <c r="C74">
        <v>2.136626E-4</v>
      </c>
      <c r="D74">
        <f t="shared" si="26"/>
        <v>1.9445199999999996E-2</v>
      </c>
      <c r="F74">
        <v>1.9445199999999996E-2</v>
      </c>
      <c r="G74">
        <v>2.136626E-4</v>
      </c>
      <c r="M74" t="s">
        <v>45</v>
      </c>
      <c r="N74" t="s">
        <v>242</v>
      </c>
      <c r="O74" t="s">
        <v>46</v>
      </c>
      <c r="P74" t="str">
        <f t="shared" si="1"/>
        <v/>
      </c>
      <c r="R74">
        <v>32</v>
      </c>
      <c r="S74">
        <v>8.6114999999999942E-3</v>
      </c>
      <c r="T74">
        <v>-2.5077150000000002E-3</v>
      </c>
      <c r="V74">
        <f>Tabela2[[#This Row],[mass-flow-rate]]/2</f>
        <v>-1.2538575000000001E-3</v>
      </c>
      <c r="X74">
        <f>V88</f>
        <v>3.2753144999999998E-4</v>
      </c>
    </row>
    <row r="75" spans="2:24" x14ac:dyDescent="0.25">
      <c r="B75">
        <v>0.31972270000000003</v>
      </c>
      <c r="C75">
        <v>3.8967169999999998E-4</v>
      </c>
      <c r="D75">
        <f t="shared" si="26"/>
        <v>1.9723000000000046E-2</v>
      </c>
      <c r="F75">
        <v>1.9723000000000046E-2</v>
      </c>
      <c r="G75">
        <v>3.8967169999999998E-4</v>
      </c>
      <c r="K75" t="s">
        <v>47</v>
      </c>
      <c r="L75" t="s">
        <v>80</v>
      </c>
      <c r="M75" t="s">
        <v>44</v>
      </c>
      <c r="P75">
        <f t="shared" ref="P75:P76" si="30">IF(MOD(ROW(),2)=0,"",F68)</f>
        <v>1.7778400000000028E-2</v>
      </c>
      <c r="R75">
        <v>32</v>
      </c>
      <c r="X75">
        <f>V90</f>
        <v>2.6227485000000002E-4</v>
      </c>
    </row>
    <row r="76" spans="2:24" x14ac:dyDescent="0.25">
      <c r="B76">
        <v>0.32000040000000002</v>
      </c>
      <c r="C76">
        <v>4.8215930000000001E-4</v>
      </c>
      <c r="D76">
        <f t="shared" si="26"/>
        <v>2.0000700000000038E-2</v>
      </c>
      <c r="F76">
        <v>2.0000700000000038E-2</v>
      </c>
      <c r="G76">
        <v>4.8215930000000001E-4</v>
      </c>
      <c r="M76" t="s">
        <v>45</v>
      </c>
      <c r="N76" t="s">
        <v>242</v>
      </c>
      <c r="O76" t="s">
        <v>46</v>
      </c>
      <c r="P76" t="str">
        <f t="shared" si="30"/>
        <v/>
      </c>
      <c r="R76">
        <v>33</v>
      </c>
      <c r="S76">
        <v>8.8892000000000415E-3</v>
      </c>
      <c r="T76">
        <v>-2.2809969999999999E-3</v>
      </c>
      <c r="V76">
        <f>Tabela2[[#This Row],[mass-flow-rate]]/2</f>
        <v>-1.1404984999999999E-3</v>
      </c>
      <c r="X76">
        <f>V92</f>
        <v>2.3123885E-4</v>
      </c>
    </row>
    <row r="77" spans="2:24" x14ac:dyDescent="0.25">
      <c r="B77">
        <v>0.32027820000000001</v>
      </c>
      <c r="C77">
        <v>2.2686959999999999E-2</v>
      </c>
      <c r="D77">
        <f t="shared" si="26"/>
        <v>2.0278500000000033E-2</v>
      </c>
      <c r="F77">
        <v>2.0278500000000033E-2</v>
      </c>
      <c r="G77">
        <v>2.2686959999999999E-2</v>
      </c>
      <c r="K77" t="s">
        <v>47</v>
      </c>
      <c r="L77" t="s">
        <v>81</v>
      </c>
      <c r="M77" t="s">
        <v>44</v>
      </c>
      <c r="P77">
        <f t="shared" ref="P77:P138" si="31">IF(MOD(ROW(),2)=0,"",F69)</f>
        <v>1.8056200000000022E-2</v>
      </c>
      <c r="R77">
        <v>33</v>
      </c>
      <c r="X77">
        <f>V94</f>
        <v>2.0744154999999999E-4</v>
      </c>
    </row>
    <row r="78" spans="2:24" x14ac:dyDescent="0.25">
      <c r="B78">
        <v>0.32055600000000001</v>
      </c>
      <c r="C78">
        <v>6.8284310000000001E-2</v>
      </c>
      <c r="D78">
        <f t="shared" si="26"/>
        <v>2.0556300000000027E-2</v>
      </c>
      <c r="F78">
        <v>2.0556300000000027E-2</v>
      </c>
      <c r="G78">
        <v>6.8284310000000001E-2</v>
      </c>
      <c r="M78" t="s">
        <v>45</v>
      </c>
      <c r="N78" t="s">
        <v>242</v>
      </c>
      <c r="O78" t="s">
        <v>46</v>
      </c>
      <c r="P78" t="str">
        <f t="shared" si="31"/>
        <v/>
      </c>
      <c r="R78">
        <v>34</v>
      </c>
      <c r="S78">
        <v>9.1670000000000362E-3</v>
      </c>
      <c r="T78">
        <v>-1.5643059999999999E-3</v>
      </c>
      <c r="V78">
        <f>Tabela2[[#This Row],[mass-flow-rate]]/2</f>
        <v>-7.8215299999999995E-4</v>
      </c>
      <c r="X78">
        <f>V96</f>
        <v>2.0916074999999999E-4</v>
      </c>
    </row>
    <row r="79" spans="2:24" x14ac:dyDescent="0.25">
      <c r="B79">
        <v>0.3208338</v>
      </c>
      <c r="C79">
        <v>0.118753</v>
      </c>
      <c r="D79">
        <f t="shared" si="26"/>
        <v>2.0834100000000022E-2</v>
      </c>
      <c r="F79">
        <v>2.0834100000000022E-2</v>
      </c>
      <c r="G79">
        <v>0.118753</v>
      </c>
      <c r="K79" t="s">
        <v>47</v>
      </c>
      <c r="L79" t="s">
        <v>82</v>
      </c>
      <c r="M79" t="s">
        <v>44</v>
      </c>
      <c r="P79">
        <f t="shared" ref="P79" si="32">IF(MOD(ROW(),2)=0,"",F70)</f>
        <v>1.8334000000000017E-2</v>
      </c>
      <c r="R79">
        <v>34</v>
      </c>
      <c r="X79">
        <f>V98</f>
        <v>2.6708055000000002E-4</v>
      </c>
    </row>
    <row r="80" spans="2:24" x14ac:dyDescent="0.25">
      <c r="B80">
        <v>0.3211116</v>
      </c>
      <c r="C80">
        <v>0.1588994</v>
      </c>
      <c r="D80">
        <f t="shared" si="26"/>
        <v>2.1111900000000017E-2</v>
      </c>
      <c r="F80">
        <v>2.1111900000000017E-2</v>
      </c>
      <c r="G80">
        <v>0.1588994</v>
      </c>
      <c r="M80" t="s">
        <v>45</v>
      </c>
      <c r="N80" t="s">
        <v>242</v>
      </c>
      <c r="O80" t="s">
        <v>46</v>
      </c>
      <c r="P80" t="str">
        <f t="shared" si="31"/>
        <v/>
      </c>
      <c r="R80">
        <v>35</v>
      </c>
      <c r="S80">
        <v>9.4448000000000309E-3</v>
      </c>
      <c r="T80">
        <v>2.4925899999999999E-4</v>
      </c>
      <c r="V80">
        <f>Tabela2[[#This Row],[mass-flow-rate]]/2</f>
        <v>1.246295E-4</v>
      </c>
      <c r="X80">
        <f>V100</f>
        <v>4.1923699999999998E-4</v>
      </c>
    </row>
    <row r="81" spans="2:24" x14ac:dyDescent="0.25">
      <c r="B81">
        <v>0.32138939999999999</v>
      </c>
      <c r="C81">
        <v>0.18703939999999999</v>
      </c>
      <c r="D81">
        <f t="shared" si="26"/>
        <v>2.1389700000000011E-2</v>
      </c>
      <c r="F81">
        <v>2.1389700000000011E-2</v>
      </c>
      <c r="G81">
        <v>0.18703939999999999</v>
      </c>
      <c r="K81" t="s">
        <v>47</v>
      </c>
      <c r="L81" t="s">
        <v>83</v>
      </c>
      <c r="M81" t="s">
        <v>44</v>
      </c>
      <c r="P81">
        <f t="shared" ref="P81" si="33">IF(MOD(ROW(),2)=0,"",F71)</f>
        <v>1.8611800000000012E-2</v>
      </c>
      <c r="R81">
        <v>35</v>
      </c>
      <c r="X81">
        <f>V102</f>
        <v>7.207095E-4</v>
      </c>
    </row>
    <row r="82" spans="2:24" x14ac:dyDescent="0.25">
      <c r="B82">
        <v>0.32166719999999999</v>
      </c>
      <c r="C82">
        <v>0.2155223</v>
      </c>
      <c r="D82">
        <f t="shared" si="26"/>
        <v>2.1667500000000006E-2</v>
      </c>
      <c r="F82">
        <v>2.1667500000000006E-2</v>
      </c>
      <c r="G82">
        <v>0.2155223</v>
      </c>
      <c r="M82" t="s">
        <v>45</v>
      </c>
      <c r="N82" t="s">
        <v>242</v>
      </c>
      <c r="O82" t="s">
        <v>46</v>
      </c>
      <c r="P82" t="str">
        <f t="shared" si="31"/>
        <v/>
      </c>
      <c r="R82">
        <v>36</v>
      </c>
      <c r="S82">
        <v>9.7226000000000257E-3</v>
      </c>
      <c r="T82">
        <v>1.1998200000000001E-3</v>
      </c>
      <c r="V82">
        <f>Tabela2[[#This Row],[mass-flow-rate]]/2</f>
        <v>5.9991000000000005E-4</v>
      </c>
      <c r="X82">
        <f>V104</f>
        <v>1.2272749999999999E-3</v>
      </c>
    </row>
    <row r="83" spans="2:24" x14ac:dyDescent="0.25">
      <c r="B83">
        <v>0.32194499999999998</v>
      </c>
      <c r="C83">
        <v>0.24014089999999999</v>
      </c>
      <c r="D83">
        <f t="shared" si="26"/>
        <v>2.1945300000000001E-2</v>
      </c>
      <c r="F83">
        <v>2.1945300000000001E-2</v>
      </c>
      <c r="G83">
        <v>0.24014089999999999</v>
      </c>
      <c r="K83" t="s">
        <v>47</v>
      </c>
      <c r="L83" t="s">
        <v>84</v>
      </c>
      <c r="M83" t="s">
        <v>44</v>
      </c>
      <c r="P83">
        <f t="shared" ref="P83:P84" si="34">IF(MOD(ROW(),2)=0,"",F76)</f>
        <v>2.0000700000000038E-2</v>
      </c>
      <c r="R83">
        <v>36</v>
      </c>
      <c r="X83">
        <f>V106</f>
        <v>1.3504655000000001E-3</v>
      </c>
    </row>
    <row r="84" spans="2:24" x14ac:dyDescent="0.25">
      <c r="B84">
        <v>0.32222269999999997</v>
      </c>
      <c r="C84">
        <v>0.259214</v>
      </c>
      <c r="D84">
        <f t="shared" si="26"/>
        <v>2.2222999999999993E-2</v>
      </c>
      <c r="F84">
        <v>2.2222999999999993E-2</v>
      </c>
      <c r="G84">
        <v>0.259214</v>
      </c>
      <c r="M84" t="s">
        <v>45</v>
      </c>
      <c r="N84" t="s">
        <v>242</v>
      </c>
      <c r="O84" t="s">
        <v>46</v>
      </c>
      <c r="P84" t="str">
        <f t="shared" si="34"/>
        <v/>
      </c>
      <c r="R84">
        <v>37</v>
      </c>
      <c r="S84">
        <v>1.000040000000002E-2</v>
      </c>
      <c r="T84">
        <v>1.2263829999999999E-3</v>
      </c>
      <c r="V84">
        <f>Tabela2[[#This Row],[mass-flow-rate]]/2</f>
        <v>6.1319149999999997E-4</v>
      </c>
      <c r="X84">
        <f>V96</f>
        <v>2.0916074999999999E-4</v>
      </c>
    </row>
    <row r="85" spans="2:24" x14ac:dyDescent="0.25">
      <c r="B85">
        <v>0.32250050000000002</v>
      </c>
      <c r="C85">
        <v>0.27619320000000003</v>
      </c>
      <c r="D85">
        <f t="shared" si="26"/>
        <v>2.2500800000000043E-2</v>
      </c>
      <c r="F85">
        <v>2.2500800000000043E-2</v>
      </c>
      <c r="G85">
        <v>0.27619320000000003</v>
      </c>
      <c r="K85" t="s">
        <v>47</v>
      </c>
      <c r="L85" t="s">
        <v>85</v>
      </c>
      <c r="M85" t="s">
        <v>44</v>
      </c>
      <c r="P85">
        <f t="shared" ref="P85" si="35">IF(MOD(ROW(),2)=0,"",F77)</f>
        <v>2.0278500000000033E-2</v>
      </c>
      <c r="R85">
        <v>37</v>
      </c>
      <c r="X85">
        <f>V98</f>
        <v>2.6708055000000002E-4</v>
      </c>
    </row>
    <row r="86" spans="2:24" x14ac:dyDescent="0.25">
      <c r="B86">
        <v>0.32277830000000002</v>
      </c>
      <c r="C86">
        <v>0.29878349999999998</v>
      </c>
      <c r="D86">
        <f t="shared" si="26"/>
        <v>2.2778600000000038E-2</v>
      </c>
      <c r="F86">
        <v>2.2778600000000038E-2</v>
      </c>
      <c r="G86">
        <v>0.29878349999999998</v>
      </c>
      <c r="M86" t="s">
        <v>45</v>
      </c>
      <c r="N86" t="s">
        <v>242</v>
      </c>
      <c r="O86" t="s">
        <v>46</v>
      </c>
      <c r="P86" t="str">
        <f t="shared" si="31"/>
        <v/>
      </c>
      <c r="R86">
        <v>38</v>
      </c>
      <c r="S86">
        <v>1.0278200000000015E-2</v>
      </c>
      <c r="T86">
        <v>9.0500599999999997E-4</v>
      </c>
      <c r="V86">
        <f>Tabela2[[#This Row],[mass-flow-rate]]/2</f>
        <v>4.5250299999999999E-4</v>
      </c>
      <c r="X86">
        <f>V100</f>
        <v>4.1923699999999998E-4</v>
      </c>
    </row>
    <row r="87" spans="2:24" x14ac:dyDescent="0.25">
      <c r="B87">
        <v>0.32305610000000001</v>
      </c>
      <c r="C87">
        <v>0.32350519999999999</v>
      </c>
      <c r="D87">
        <f t="shared" si="26"/>
        <v>2.3056400000000032E-2</v>
      </c>
      <c r="F87">
        <v>2.3056400000000032E-2</v>
      </c>
      <c r="G87">
        <v>0.32350519999999999</v>
      </c>
      <c r="K87" t="s">
        <v>47</v>
      </c>
      <c r="L87" t="s">
        <v>86</v>
      </c>
      <c r="M87" t="s">
        <v>44</v>
      </c>
      <c r="P87">
        <f t="shared" ref="P87" si="36">IF(MOD(ROW(),2)=0,"",F78)</f>
        <v>2.0556300000000027E-2</v>
      </c>
      <c r="R87">
        <v>38</v>
      </c>
      <c r="X87">
        <f>V102</f>
        <v>7.207095E-4</v>
      </c>
    </row>
    <row r="88" spans="2:24" x14ac:dyDescent="0.25">
      <c r="B88">
        <v>0.32333390000000001</v>
      </c>
      <c r="C88">
        <v>0.3451187</v>
      </c>
      <c r="D88">
        <f t="shared" si="26"/>
        <v>2.3334200000000027E-2</v>
      </c>
      <c r="F88">
        <v>2.3334200000000027E-2</v>
      </c>
      <c r="G88">
        <v>0.3451187</v>
      </c>
      <c r="M88" t="s">
        <v>45</v>
      </c>
      <c r="N88" t="s">
        <v>242</v>
      </c>
      <c r="O88" t="s">
        <v>46</v>
      </c>
      <c r="P88" t="str">
        <f t="shared" si="31"/>
        <v/>
      </c>
      <c r="R88">
        <v>39</v>
      </c>
      <c r="S88">
        <v>1.055600000000001E-2</v>
      </c>
      <c r="T88">
        <v>6.5506289999999997E-4</v>
      </c>
      <c r="V88">
        <f>Tabela2[[#This Row],[mass-flow-rate]]/2</f>
        <v>3.2753144999999998E-4</v>
      </c>
      <c r="X88">
        <f>V104</f>
        <v>1.2272749999999999E-3</v>
      </c>
    </row>
    <row r="89" spans="2:24" x14ac:dyDescent="0.25">
      <c r="B89">
        <v>0.3236117</v>
      </c>
      <c r="C89">
        <v>0.3592146</v>
      </c>
      <c r="D89">
        <f t="shared" si="26"/>
        <v>2.3612000000000022E-2</v>
      </c>
      <c r="F89">
        <v>2.3612000000000022E-2</v>
      </c>
      <c r="G89">
        <v>0.3592146</v>
      </c>
      <c r="K89" t="s">
        <v>47</v>
      </c>
      <c r="L89" t="s">
        <v>87</v>
      </c>
      <c r="M89" t="s">
        <v>44</v>
      </c>
      <c r="P89">
        <f t="shared" ref="P89" si="37">IF(MOD(ROW(),2)=0,"",F79)</f>
        <v>2.0834100000000022E-2</v>
      </c>
      <c r="R89">
        <v>39</v>
      </c>
      <c r="X89">
        <f>V106</f>
        <v>1.3504655000000001E-3</v>
      </c>
    </row>
    <row r="90" spans="2:24" x14ac:dyDescent="0.25">
      <c r="B90">
        <v>0.3238895</v>
      </c>
      <c r="C90">
        <v>0.37237920000000002</v>
      </c>
      <c r="D90">
        <f t="shared" si="26"/>
        <v>2.3889800000000017E-2</v>
      </c>
      <c r="F90">
        <v>2.3889800000000017E-2</v>
      </c>
      <c r="G90">
        <v>0.37237920000000002</v>
      </c>
      <c r="M90" t="s">
        <v>45</v>
      </c>
      <c r="N90" t="s">
        <v>242</v>
      </c>
      <c r="O90" t="s">
        <v>46</v>
      </c>
      <c r="P90" t="str">
        <f t="shared" si="31"/>
        <v/>
      </c>
      <c r="R90">
        <v>40</v>
      </c>
      <c r="S90">
        <v>1.0833800000000005E-2</v>
      </c>
      <c r="T90">
        <v>5.2454970000000004E-4</v>
      </c>
      <c r="V90">
        <f>Tabela2[[#This Row],[mass-flow-rate]]/2</f>
        <v>2.6227485000000002E-4</v>
      </c>
      <c r="X90">
        <f>V108</f>
        <v>1.065865E-3</v>
      </c>
    </row>
    <row r="91" spans="2:24" x14ac:dyDescent="0.25">
      <c r="B91">
        <v>0.32416729999999999</v>
      </c>
      <c r="C91">
        <v>0.38524029999999998</v>
      </c>
      <c r="D91">
        <f t="shared" si="26"/>
        <v>2.4167600000000011E-2</v>
      </c>
      <c r="F91">
        <v>2.4167600000000011E-2</v>
      </c>
      <c r="G91">
        <v>0.38524029999999998</v>
      </c>
      <c r="K91" t="s">
        <v>47</v>
      </c>
      <c r="L91" t="s">
        <v>88</v>
      </c>
      <c r="M91" t="s">
        <v>44</v>
      </c>
      <c r="P91">
        <f t="shared" ref="P91:P92" si="38">IF(MOD(ROW(),2)=0,"",F84)</f>
        <v>2.2222999999999993E-2</v>
      </c>
      <c r="R91">
        <v>40</v>
      </c>
      <c r="X91">
        <f>V110</f>
        <v>6.8108000000000003E-4</v>
      </c>
    </row>
    <row r="92" spans="2:24" x14ac:dyDescent="0.25">
      <c r="B92">
        <v>0.32444499999999998</v>
      </c>
      <c r="C92">
        <v>0.39349630000000002</v>
      </c>
      <c r="D92">
        <f t="shared" si="26"/>
        <v>2.4445300000000003E-2</v>
      </c>
      <c r="F92">
        <v>2.4445300000000003E-2</v>
      </c>
      <c r="G92">
        <v>0.39349630000000002</v>
      </c>
      <c r="M92" t="s">
        <v>45</v>
      </c>
      <c r="N92" t="s">
        <v>242</v>
      </c>
      <c r="O92" t="s">
        <v>46</v>
      </c>
      <c r="P92" t="str">
        <f t="shared" si="38"/>
        <v/>
      </c>
      <c r="R92">
        <v>41</v>
      </c>
      <c r="S92">
        <v>1.1111499999999996E-2</v>
      </c>
      <c r="T92">
        <v>4.6247770000000001E-4</v>
      </c>
      <c r="V92">
        <f>Tabela2[[#This Row],[mass-flow-rate]]/2</f>
        <v>2.3123885E-4</v>
      </c>
      <c r="X92">
        <f>V112</f>
        <v>2.9551540000000002E-4</v>
      </c>
    </row>
    <row r="93" spans="2:24" x14ac:dyDescent="0.25">
      <c r="B93">
        <v>0.32472279999999998</v>
      </c>
      <c r="C93">
        <v>0.39188699999999999</v>
      </c>
      <c r="D93">
        <f t="shared" si="26"/>
        <v>2.4723099999999998E-2</v>
      </c>
      <c r="F93">
        <v>2.4723099999999998E-2</v>
      </c>
      <c r="G93">
        <v>0.39188699999999999</v>
      </c>
      <c r="K93" t="s">
        <v>47</v>
      </c>
      <c r="L93" t="s">
        <v>89</v>
      </c>
      <c r="M93" t="s">
        <v>44</v>
      </c>
      <c r="P93">
        <f t="shared" ref="P93" si="39">IF(MOD(ROW(),2)=0,"",F85)</f>
        <v>2.2500800000000043E-2</v>
      </c>
      <c r="R93">
        <v>41</v>
      </c>
      <c r="X93">
        <f>V114</f>
        <v>-1.1371039999999999E-4</v>
      </c>
    </row>
    <row r="94" spans="2:24" x14ac:dyDescent="0.25">
      <c r="B94">
        <v>0.32500059999999997</v>
      </c>
      <c r="C94">
        <v>0.3837063</v>
      </c>
      <c r="D94">
        <f t="shared" si="26"/>
        <v>2.5000899999999993E-2</v>
      </c>
      <c r="F94">
        <v>2.5000899999999993E-2</v>
      </c>
      <c r="G94">
        <v>0.3837063</v>
      </c>
      <c r="M94" t="s">
        <v>45</v>
      </c>
      <c r="N94" t="s">
        <v>242</v>
      </c>
      <c r="O94" t="s">
        <v>46</v>
      </c>
      <c r="P94" t="str">
        <f t="shared" si="31"/>
        <v/>
      </c>
      <c r="R94">
        <v>42</v>
      </c>
      <c r="S94">
        <v>1.1389300000000047E-2</v>
      </c>
      <c r="T94">
        <v>4.1488309999999999E-4</v>
      </c>
      <c r="V94">
        <f>Tabela2[[#This Row],[mass-flow-rate]]/2</f>
        <v>2.0744154999999999E-4</v>
      </c>
      <c r="X94">
        <f>V116</f>
        <v>-3.7421930000000001E-4</v>
      </c>
    </row>
    <row r="95" spans="2:24" x14ac:dyDescent="0.25">
      <c r="B95">
        <v>0.32527840000000002</v>
      </c>
      <c r="C95">
        <v>0.36308249999999997</v>
      </c>
      <c r="D95">
        <f t="shared" si="26"/>
        <v>2.5278700000000043E-2</v>
      </c>
      <c r="F95">
        <v>2.5278700000000043E-2</v>
      </c>
      <c r="G95">
        <v>0.36308249999999997</v>
      </c>
      <c r="K95" t="s">
        <v>47</v>
      </c>
      <c r="L95" t="s">
        <v>90</v>
      </c>
      <c r="M95" t="s">
        <v>44</v>
      </c>
      <c r="P95">
        <f t="shared" ref="P95" si="40">IF(MOD(ROW(),2)=0,"",F86)</f>
        <v>2.2778600000000038E-2</v>
      </c>
      <c r="R95">
        <v>42</v>
      </c>
      <c r="X95">
        <f>V118</f>
        <v>-5.9267800000000002E-4</v>
      </c>
    </row>
    <row r="96" spans="2:24" x14ac:dyDescent="0.25">
      <c r="B96">
        <v>0.32555620000000002</v>
      </c>
      <c r="C96">
        <v>0.33258310000000002</v>
      </c>
      <c r="D96">
        <f t="shared" si="26"/>
        <v>2.5556500000000038E-2</v>
      </c>
      <c r="F96">
        <v>2.5556500000000038E-2</v>
      </c>
      <c r="G96">
        <v>0.33258310000000002</v>
      </c>
      <c r="M96" t="s">
        <v>45</v>
      </c>
      <c r="N96" t="s">
        <v>242</v>
      </c>
      <c r="O96" t="s">
        <v>46</v>
      </c>
      <c r="P96" t="str">
        <f t="shared" si="31"/>
        <v/>
      </c>
      <c r="R96">
        <v>43</v>
      </c>
      <c r="S96">
        <v>1.1667100000000041E-2</v>
      </c>
      <c r="T96">
        <v>4.1832149999999999E-4</v>
      </c>
      <c r="V96">
        <f>Tabela2[[#This Row],[mass-flow-rate]]/2</f>
        <v>2.0916074999999999E-4</v>
      </c>
      <c r="X96">
        <f>V108</f>
        <v>1.065865E-3</v>
      </c>
    </row>
    <row r="97" spans="2:24" x14ac:dyDescent="0.25">
      <c r="B97">
        <v>0.32583400000000001</v>
      </c>
      <c r="C97">
        <v>0.29503000000000001</v>
      </c>
      <c r="D97">
        <f t="shared" si="26"/>
        <v>2.5834300000000032E-2</v>
      </c>
      <c r="F97">
        <v>2.5834300000000032E-2</v>
      </c>
      <c r="G97">
        <v>0.29503000000000001</v>
      </c>
      <c r="K97" t="s">
        <v>47</v>
      </c>
      <c r="L97" t="s">
        <v>91</v>
      </c>
      <c r="M97" t="s">
        <v>44</v>
      </c>
      <c r="P97">
        <f t="shared" ref="P97" si="41">IF(MOD(ROW(),2)=0,"",F87)</f>
        <v>2.3056400000000032E-2</v>
      </c>
      <c r="R97">
        <v>43</v>
      </c>
      <c r="X97">
        <f>V110</f>
        <v>6.8108000000000003E-4</v>
      </c>
    </row>
    <row r="98" spans="2:24" x14ac:dyDescent="0.25">
      <c r="B98">
        <v>0.32611180000000001</v>
      </c>
      <c r="C98">
        <v>0.25329940000000001</v>
      </c>
      <c r="D98">
        <f t="shared" si="26"/>
        <v>2.6112100000000027E-2</v>
      </c>
      <c r="F98">
        <v>2.6112100000000027E-2</v>
      </c>
      <c r="G98">
        <v>0.25329940000000001</v>
      </c>
      <c r="M98" t="s">
        <v>45</v>
      </c>
      <c r="N98" t="s">
        <v>242</v>
      </c>
      <c r="O98" t="s">
        <v>46</v>
      </c>
      <c r="P98" t="str">
        <f t="shared" si="31"/>
        <v/>
      </c>
      <c r="R98">
        <v>44</v>
      </c>
      <c r="S98">
        <v>1.1944900000000036E-2</v>
      </c>
      <c r="T98">
        <v>5.3416110000000004E-4</v>
      </c>
      <c r="V98">
        <f>Tabela2[[#This Row],[mass-flow-rate]]/2</f>
        <v>2.6708055000000002E-4</v>
      </c>
      <c r="X98">
        <f>V112</f>
        <v>2.9551540000000002E-4</v>
      </c>
    </row>
    <row r="99" spans="2:24" x14ac:dyDescent="0.25">
      <c r="B99">
        <v>0.3263896</v>
      </c>
      <c r="C99">
        <v>0.2102184</v>
      </c>
      <c r="D99">
        <f t="shared" si="26"/>
        <v>2.6389900000000022E-2</v>
      </c>
      <c r="F99">
        <v>2.6389900000000022E-2</v>
      </c>
      <c r="G99">
        <v>0.2102184</v>
      </c>
      <c r="K99" t="s">
        <v>47</v>
      </c>
      <c r="L99" t="s">
        <v>92</v>
      </c>
      <c r="M99" t="s">
        <v>44</v>
      </c>
      <c r="P99">
        <f t="shared" ref="P99:P100" si="42">IF(MOD(ROW(),2)=0,"",F92)</f>
        <v>2.4445300000000003E-2</v>
      </c>
      <c r="R99">
        <v>44</v>
      </c>
      <c r="X99">
        <f>V114</f>
        <v>-1.1371039999999999E-4</v>
      </c>
    </row>
    <row r="100" spans="2:24" x14ac:dyDescent="0.25">
      <c r="B100">
        <v>0.32666729999999999</v>
      </c>
      <c r="C100">
        <v>0.17237330000000001</v>
      </c>
      <c r="D100">
        <f t="shared" si="26"/>
        <v>2.6667600000000014E-2</v>
      </c>
      <c r="F100">
        <v>2.6667600000000014E-2</v>
      </c>
      <c r="G100">
        <v>0.17237330000000001</v>
      </c>
      <c r="M100" t="s">
        <v>45</v>
      </c>
      <c r="N100" t="s">
        <v>242</v>
      </c>
      <c r="O100" t="s">
        <v>46</v>
      </c>
      <c r="P100" t="str">
        <f t="shared" si="42"/>
        <v/>
      </c>
      <c r="R100">
        <v>45</v>
      </c>
      <c r="S100">
        <v>1.2222700000000031E-2</v>
      </c>
      <c r="T100">
        <v>8.3847399999999997E-4</v>
      </c>
      <c r="V100">
        <f>Tabela2[[#This Row],[mass-flow-rate]]/2</f>
        <v>4.1923699999999998E-4</v>
      </c>
      <c r="X100">
        <f>V116</f>
        <v>-3.7421930000000001E-4</v>
      </c>
    </row>
    <row r="101" spans="2:24" x14ac:dyDescent="0.25">
      <c r="B101">
        <v>0.32694509999999999</v>
      </c>
      <c r="C101">
        <v>0.12712799999999999</v>
      </c>
      <c r="D101">
        <f t="shared" si="26"/>
        <v>2.6945400000000008E-2</v>
      </c>
      <c r="F101">
        <v>2.6945400000000008E-2</v>
      </c>
      <c r="G101">
        <v>0.12712799999999999</v>
      </c>
      <c r="K101" t="s">
        <v>47</v>
      </c>
      <c r="L101" t="s">
        <v>93</v>
      </c>
      <c r="M101" t="s">
        <v>44</v>
      </c>
      <c r="P101">
        <f t="shared" ref="P101" si="43">IF(MOD(ROW(),2)=0,"",F93)</f>
        <v>2.4723099999999998E-2</v>
      </c>
      <c r="R101">
        <v>45</v>
      </c>
      <c r="X101">
        <f>V118</f>
        <v>-5.9267800000000002E-4</v>
      </c>
    </row>
    <row r="102" spans="2:24" x14ac:dyDescent="0.25">
      <c r="B102">
        <v>0.32722289999999998</v>
      </c>
      <c r="C102">
        <v>7.3893349999999997E-2</v>
      </c>
      <c r="D102">
        <f t="shared" si="26"/>
        <v>2.7223200000000003E-2</v>
      </c>
      <c r="F102">
        <v>2.7223200000000003E-2</v>
      </c>
      <c r="G102">
        <v>7.3893349999999997E-2</v>
      </c>
      <c r="M102" t="s">
        <v>45</v>
      </c>
      <c r="N102" t="s">
        <v>242</v>
      </c>
      <c r="O102" t="s">
        <v>46</v>
      </c>
      <c r="P102" t="str">
        <f t="shared" si="31"/>
        <v/>
      </c>
      <c r="R102">
        <v>46</v>
      </c>
      <c r="S102">
        <v>1.2500500000000025E-2</v>
      </c>
      <c r="T102">
        <v>1.441419E-3</v>
      </c>
      <c r="V102">
        <f>Tabela2[[#This Row],[mass-flow-rate]]/2</f>
        <v>7.207095E-4</v>
      </c>
      <c r="X102">
        <f>V120</f>
        <v>-8.4300949999999999E-4</v>
      </c>
    </row>
    <row r="103" spans="2:24" x14ac:dyDescent="0.25">
      <c r="B103">
        <v>0.32750069999999998</v>
      </c>
      <c r="C103">
        <v>2.4645170000000001E-2</v>
      </c>
      <c r="D103">
        <f t="shared" si="26"/>
        <v>2.7500999999999998E-2</v>
      </c>
      <c r="F103">
        <v>2.7500999999999998E-2</v>
      </c>
      <c r="G103">
        <v>2.4645170000000001E-2</v>
      </c>
      <c r="K103" t="s">
        <v>47</v>
      </c>
      <c r="L103" t="s">
        <v>94</v>
      </c>
      <c r="M103" t="s">
        <v>44</v>
      </c>
      <c r="P103">
        <f t="shared" ref="P103" si="44">IF(MOD(ROW(),2)=0,"",F94)</f>
        <v>2.5000899999999993E-2</v>
      </c>
      <c r="R103">
        <v>46</v>
      </c>
      <c r="X103">
        <f>V122</f>
        <v>-8.5044150000000002E-4</v>
      </c>
    </row>
    <row r="104" spans="2:24" x14ac:dyDescent="0.25">
      <c r="B104">
        <v>0.32777849999999997</v>
      </c>
      <c r="C104">
        <v>-2.479654E-3</v>
      </c>
      <c r="D104">
        <f t="shared" si="26"/>
        <v>2.7778799999999992E-2</v>
      </c>
      <c r="F104">
        <v>2.7778799999999992E-2</v>
      </c>
      <c r="G104">
        <v>-2.479654E-3</v>
      </c>
      <c r="M104" t="s">
        <v>45</v>
      </c>
      <c r="N104" t="s">
        <v>242</v>
      </c>
      <c r="O104" t="s">
        <v>46</v>
      </c>
      <c r="P104" t="str">
        <f t="shared" si="31"/>
        <v/>
      </c>
      <c r="R104">
        <v>47</v>
      </c>
      <c r="S104">
        <v>1.277830000000002E-2</v>
      </c>
      <c r="T104">
        <v>2.4545499999999998E-3</v>
      </c>
      <c r="V104">
        <f>Tabela2[[#This Row],[mass-flow-rate]]/2</f>
        <v>1.2272749999999999E-3</v>
      </c>
      <c r="X104">
        <f>V124</f>
        <v>-6.4864499999999999E-4</v>
      </c>
    </row>
    <row r="105" spans="2:24" x14ac:dyDescent="0.25">
      <c r="B105">
        <v>0.32805630000000002</v>
      </c>
      <c r="C105">
        <v>-3.4567830000000002E-3</v>
      </c>
      <c r="D105">
        <f t="shared" si="26"/>
        <v>2.8056600000000043E-2</v>
      </c>
      <c r="F105">
        <v>2.8056600000000043E-2</v>
      </c>
      <c r="G105">
        <v>-3.4567830000000002E-3</v>
      </c>
      <c r="K105" t="s">
        <v>47</v>
      </c>
      <c r="L105" t="s">
        <v>95</v>
      </c>
      <c r="M105" t="s">
        <v>44</v>
      </c>
      <c r="P105">
        <f t="shared" ref="P105" si="45">IF(MOD(ROW(),2)=0,"",F95)</f>
        <v>2.5278700000000043E-2</v>
      </c>
      <c r="R105">
        <v>47</v>
      </c>
      <c r="X105">
        <f>V126</f>
        <v>-3.6111070000000001E-4</v>
      </c>
    </row>
    <row r="106" spans="2:24" x14ac:dyDescent="0.25">
      <c r="B106">
        <v>0.32833410000000002</v>
      </c>
      <c r="C106">
        <v>-2.7390779999999998E-3</v>
      </c>
      <c r="D106">
        <f t="shared" si="26"/>
        <v>2.8334400000000037E-2</v>
      </c>
      <c r="F106">
        <v>2.8334400000000037E-2</v>
      </c>
      <c r="G106">
        <v>-2.7390779999999998E-3</v>
      </c>
      <c r="M106" t="s">
        <v>45</v>
      </c>
      <c r="N106" t="s">
        <v>242</v>
      </c>
      <c r="O106" t="s">
        <v>46</v>
      </c>
      <c r="P106" t="str">
        <f t="shared" si="31"/>
        <v/>
      </c>
      <c r="R106">
        <v>48</v>
      </c>
      <c r="S106">
        <v>1.3056100000000015E-2</v>
      </c>
      <c r="T106">
        <v>2.7009310000000002E-3</v>
      </c>
      <c r="V106">
        <f>Tabela2[[#This Row],[mass-flow-rate]]/2</f>
        <v>1.3504655000000001E-3</v>
      </c>
      <c r="X106">
        <f>V128</f>
        <v>-5.220385E-5</v>
      </c>
    </row>
    <row r="107" spans="2:24" x14ac:dyDescent="0.25">
      <c r="B107">
        <v>0.32861190000000001</v>
      </c>
      <c r="C107">
        <v>-2.1490849999999998E-3</v>
      </c>
      <c r="D107">
        <f t="shared" si="26"/>
        <v>2.8612200000000032E-2</v>
      </c>
      <c r="F107">
        <v>2.8612200000000032E-2</v>
      </c>
      <c r="G107">
        <v>-2.1490849999999998E-3</v>
      </c>
      <c r="K107" t="s">
        <v>47</v>
      </c>
      <c r="L107" t="s">
        <v>96</v>
      </c>
      <c r="M107" t="s">
        <v>44</v>
      </c>
      <c r="P107">
        <f t="shared" ref="P107:P108" si="46">IF(MOD(ROW(),2)=0,"",F100)</f>
        <v>2.6667600000000014E-2</v>
      </c>
      <c r="R107">
        <v>48</v>
      </c>
      <c r="X107">
        <f>V130</f>
        <v>2.0128755E-4</v>
      </c>
    </row>
    <row r="108" spans="2:24" x14ac:dyDescent="0.25">
      <c r="B108">
        <v>0.3288896</v>
      </c>
      <c r="C108">
        <v>-1.984768E-3</v>
      </c>
      <c r="D108">
        <f t="shared" si="26"/>
        <v>2.8889900000000024E-2</v>
      </c>
      <c r="F108">
        <v>2.8889900000000024E-2</v>
      </c>
      <c r="G108">
        <v>-1.984768E-3</v>
      </c>
      <c r="M108" t="s">
        <v>45</v>
      </c>
      <c r="N108" t="s">
        <v>242</v>
      </c>
      <c r="O108" t="s">
        <v>46</v>
      </c>
      <c r="P108" t="str">
        <f t="shared" si="46"/>
        <v/>
      </c>
      <c r="R108">
        <v>49</v>
      </c>
      <c r="S108">
        <v>1.3333800000000007E-2</v>
      </c>
      <c r="T108">
        <v>2.1317300000000001E-3</v>
      </c>
      <c r="V108">
        <f>Tabela2[[#This Row],[mass-flow-rate]]/2</f>
        <v>1.065865E-3</v>
      </c>
      <c r="X108">
        <f>V120</f>
        <v>-8.4300949999999999E-4</v>
      </c>
    </row>
    <row r="109" spans="2:24" x14ac:dyDescent="0.25">
      <c r="B109">
        <v>0.3291674</v>
      </c>
      <c r="C109">
        <v>-1.5795620000000001E-3</v>
      </c>
      <c r="D109">
        <f t="shared" si="26"/>
        <v>2.9167700000000019E-2</v>
      </c>
      <c r="F109">
        <v>2.9167700000000019E-2</v>
      </c>
      <c r="G109">
        <v>-1.5795620000000001E-3</v>
      </c>
      <c r="K109" t="s">
        <v>47</v>
      </c>
      <c r="L109" t="s">
        <v>97</v>
      </c>
      <c r="M109" t="s">
        <v>44</v>
      </c>
      <c r="P109">
        <f t="shared" ref="P109" si="47">IF(MOD(ROW(),2)=0,"",F101)</f>
        <v>2.6945400000000008E-2</v>
      </c>
      <c r="R109">
        <v>49</v>
      </c>
      <c r="X109">
        <f>V122</f>
        <v>-8.5044150000000002E-4</v>
      </c>
    </row>
    <row r="110" spans="2:24" x14ac:dyDescent="0.25">
      <c r="B110">
        <v>0.32944519999999999</v>
      </c>
      <c r="C110">
        <v>-1.249757E-5</v>
      </c>
      <c r="D110">
        <f t="shared" si="26"/>
        <v>2.9445500000000013E-2</v>
      </c>
      <c r="F110">
        <v>2.9445500000000013E-2</v>
      </c>
      <c r="G110">
        <v>-1.249757E-5</v>
      </c>
      <c r="M110" t="s">
        <v>45</v>
      </c>
      <c r="N110" t="s">
        <v>242</v>
      </c>
      <c r="O110" t="s">
        <v>46</v>
      </c>
      <c r="P110" t="str">
        <f t="shared" si="31"/>
        <v/>
      </c>
      <c r="R110">
        <v>50</v>
      </c>
      <c r="S110">
        <v>1.3611600000000001E-2</v>
      </c>
      <c r="T110">
        <v>1.3621600000000001E-3</v>
      </c>
      <c r="V110">
        <f>Tabela2[[#This Row],[mass-flow-rate]]/2</f>
        <v>6.8108000000000003E-4</v>
      </c>
      <c r="X110">
        <f>V124</f>
        <v>-6.4864499999999999E-4</v>
      </c>
    </row>
    <row r="111" spans="2:24" x14ac:dyDescent="0.25">
      <c r="B111">
        <v>0.32972299999999999</v>
      </c>
      <c r="C111">
        <v>9.1597040000000003E-4</v>
      </c>
      <c r="D111">
        <f t="shared" si="26"/>
        <v>2.9723300000000008E-2</v>
      </c>
      <c r="F111">
        <v>2.9723300000000008E-2</v>
      </c>
      <c r="G111">
        <v>9.1597040000000003E-4</v>
      </c>
      <c r="K111" t="s">
        <v>47</v>
      </c>
      <c r="L111" t="s">
        <v>98</v>
      </c>
      <c r="M111" t="s">
        <v>44</v>
      </c>
      <c r="P111">
        <f t="shared" ref="P111" si="48">IF(MOD(ROW(),2)=0,"",F102)</f>
        <v>2.7223200000000003E-2</v>
      </c>
      <c r="R111">
        <v>50</v>
      </c>
      <c r="X111">
        <f>V126</f>
        <v>-3.6111070000000001E-4</v>
      </c>
    </row>
    <row r="112" spans="2:24" x14ac:dyDescent="0.25">
      <c r="B112">
        <v>0.33000079999999998</v>
      </c>
      <c r="C112">
        <v>1.0618299999999999E-3</v>
      </c>
      <c r="D112">
        <f t="shared" si="26"/>
        <v>3.0001100000000003E-2</v>
      </c>
      <c r="F112">
        <v>3.0001100000000003E-2</v>
      </c>
      <c r="G112">
        <v>1.0618299999999999E-3</v>
      </c>
      <c r="M112" t="s">
        <v>45</v>
      </c>
      <c r="N112" t="s">
        <v>242</v>
      </c>
      <c r="O112" t="s">
        <v>46</v>
      </c>
      <c r="P112" t="str">
        <f t="shared" si="31"/>
        <v/>
      </c>
      <c r="R112">
        <v>51</v>
      </c>
      <c r="S112">
        <v>1.3889399999999996E-2</v>
      </c>
      <c r="T112">
        <v>5.9103080000000004E-4</v>
      </c>
      <c r="V112">
        <f>Tabela2[[#This Row],[mass-flow-rate]]/2</f>
        <v>2.9551540000000002E-4</v>
      </c>
      <c r="X112">
        <f>V128</f>
        <v>-5.220385E-5</v>
      </c>
    </row>
    <row r="113" spans="2:24" x14ac:dyDescent="0.25">
      <c r="B113">
        <v>0.33027859999999998</v>
      </c>
      <c r="C113">
        <v>8.7344820000000004E-4</v>
      </c>
      <c r="D113">
        <f t="shared" si="26"/>
        <v>3.0278899999999997E-2</v>
      </c>
      <c r="F113">
        <v>3.0278899999999997E-2</v>
      </c>
      <c r="G113">
        <v>8.7344820000000004E-4</v>
      </c>
      <c r="K113" t="s">
        <v>47</v>
      </c>
      <c r="L113" t="s">
        <v>99</v>
      </c>
      <c r="M113" t="s">
        <v>44</v>
      </c>
      <c r="P113">
        <f t="shared" ref="P113" si="49">IF(MOD(ROW(),2)=0,"",F103)</f>
        <v>2.7500999999999998E-2</v>
      </c>
      <c r="R113">
        <v>51</v>
      </c>
      <c r="X113">
        <f>V130</f>
        <v>2.0128755E-4</v>
      </c>
    </row>
    <row r="114" spans="2:24" x14ac:dyDescent="0.25">
      <c r="B114">
        <v>0.33055639999999997</v>
      </c>
      <c r="C114">
        <v>6.6079870000000001E-4</v>
      </c>
      <c r="D114">
        <f t="shared" si="26"/>
        <v>3.0556699999999992E-2</v>
      </c>
      <c r="F114">
        <v>3.0556699999999992E-2</v>
      </c>
      <c r="G114">
        <v>6.6079870000000001E-4</v>
      </c>
      <c r="M114" t="s">
        <v>45</v>
      </c>
      <c r="N114" t="s">
        <v>242</v>
      </c>
      <c r="O114" t="s">
        <v>46</v>
      </c>
      <c r="P114" t="str">
        <f t="shared" si="31"/>
        <v/>
      </c>
      <c r="R114">
        <v>52</v>
      </c>
      <c r="S114">
        <v>1.4167200000000046E-2</v>
      </c>
      <c r="T114">
        <v>-2.2742079999999999E-4</v>
      </c>
      <c r="V114">
        <f>Tabela2[[#This Row],[mass-flow-rate]]/2</f>
        <v>-1.1371039999999999E-4</v>
      </c>
      <c r="X114">
        <f>V132</f>
        <v>3.8474804999999999E-4</v>
      </c>
    </row>
    <row r="115" spans="2:24" x14ac:dyDescent="0.25">
      <c r="B115">
        <v>0.33083420000000002</v>
      </c>
      <c r="C115">
        <v>5.1699109999999999E-4</v>
      </c>
      <c r="D115">
        <f t="shared" si="26"/>
        <v>3.0834500000000042E-2</v>
      </c>
      <c r="F115">
        <v>3.0834500000000042E-2</v>
      </c>
      <c r="G115">
        <v>5.1699109999999999E-4</v>
      </c>
      <c r="K115" t="s">
        <v>47</v>
      </c>
      <c r="L115" t="s">
        <v>100</v>
      </c>
      <c r="M115" t="s">
        <v>44</v>
      </c>
      <c r="P115">
        <f t="shared" ref="P115:P116" si="50">IF(MOD(ROW(),2)=0,"",F108)</f>
        <v>2.8889900000000024E-2</v>
      </c>
      <c r="R115">
        <v>52</v>
      </c>
      <c r="X115">
        <f>V134</f>
        <v>3.8039569999999997E-4</v>
      </c>
    </row>
    <row r="116" spans="2:24" x14ac:dyDescent="0.25">
      <c r="B116">
        <v>0.33111190000000001</v>
      </c>
      <c r="C116">
        <v>4.3169200000000001E-4</v>
      </c>
      <c r="D116">
        <f t="shared" si="26"/>
        <v>3.1112200000000034E-2</v>
      </c>
      <c r="F116">
        <v>3.1112200000000034E-2</v>
      </c>
      <c r="G116">
        <v>4.3169200000000001E-4</v>
      </c>
      <c r="M116" t="s">
        <v>45</v>
      </c>
      <c r="N116" t="s">
        <v>242</v>
      </c>
      <c r="O116" t="s">
        <v>46</v>
      </c>
      <c r="P116" t="str">
        <f t="shared" si="50"/>
        <v/>
      </c>
      <c r="R116">
        <v>53</v>
      </c>
      <c r="S116">
        <v>1.4445000000000041E-2</v>
      </c>
      <c r="T116">
        <v>-7.4843860000000002E-4</v>
      </c>
      <c r="V116">
        <f>Tabela2[[#This Row],[mass-flow-rate]]/2</f>
        <v>-3.7421930000000001E-4</v>
      </c>
      <c r="X116">
        <f>V136</f>
        <v>1.540677E-4</v>
      </c>
    </row>
    <row r="117" spans="2:24" x14ac:dyDescent="0.25">
      <c r="B117">
        <v>0.33138970000000001</v>
      </c>
      <c r="C117">
        <v>3.566156E-4</v>
      </c>
      <c r="D117">
        <f t="shared" si="26"/>
        <v>3.1390000000000029E-2</v>
      </c>
      <c r="F117">
        <v>3.1390000000000029E-2</v>
      </c>
      <c r="G117">
        <v>3.566156E-4</v>
      </c>
      <c r="K117" t="s">
        <v>47</v>
      </c>
      <c r="L117" t="s">
        <v>101</v>
      </c>
      <c r="M117" t="s">
        <v>44</v>
      </c>
      <c r="P117">
        <f t="shared" ref="P117" si="51">IF(MOD(ROW(),2)=0,"",F109)</f>
        <v>2.9167700000000019E-2</v>
      </c>
      <c r="R117">
        <v>53</v>
      </c>
      <c r="X117">
        <f>V138</f>
        <v>-2.472361E-4</v>
      </c>
    </row>
    <row r="118" spans="2:24" x14ac:dyDescent="0.25">
      <c r="B118">
        <v>0.3316675</v>
      </c>
      <c r="C118">
        <v>3.2915249999999999E-4</v>
      </c>
      <c r="D118">
        <f t="shared" si="26"/>
        <v>3.1667800000000024E-2</v>
      </c>
      <c r="F118">
        <v>3.1667800000000024E-2</v>
      </c>
      <c r="G118">
        <v>3.2915249999999999E-4</v>
      </c>
      <c r="M118" t="s">
        <v>45</v>
      </c>
      <c r="N118" t="s">
        <v>242</v>
      </c>
      <c r="O118" t="s">
        <v>46</v>
      </c>
      <c r="P118" t="str">
        <f t="shared" si="31"/>
        <v/>
      </c>
      <c r="R118">
        <v>54</v>
      </c>
      <c r="S118">
        <v>1.4722800000000036E-2</v>
      </c>
      <c r="T118">
        <v>-1.185356E-3</v>
      </c>
      <c r="V118">
        <f>Tabela2[[#This Row],[mass-flow-rate]]/2</f>
        <v>-5.9267800000000002E-4</v>
      </c>
      <c r="X118">
        <f>V140</f>
        <v>-7.0754149999999996E-4</v>
      </c>
    </row>
    <row r="119" spans="2:24" x14ac:dyDescent="0.25">
      <c r="B119">
        <v>0.3319453</v>
      </c>
      <c r="C119">
        <v>4.3277570000000001E-4</v>
      </c>
      <c r="D119">
        <f t="shared" si="26"/>
        <v>3.1945600000000018E-2</v>
      </c>
      <c r="F119">
        <v>3.1945600000000018E-2</v>
      </c>
      <c r="G119">
        <v>4.3277570000000001E-4</v>
      </c>
      <c r="K119" t="s">
        <v>47</v>
      </c>
      <c r="L119" t="s">
        <v>102</v>
      </c>
      <c r="M119" t="s">
        <v>44</v>
      </c>
      <c r="P119">
        <f t="shared" ref="P119" si="52">IF(MOD(ROW(),2)=0,"",F110)</f>
        <v>2.9445500000000013E-2</v>
      </c>
      <c r="R119">
        <v>54</v>
      </c>
      <c r="X119">
        <f>V142</f>
        <v>-9.0904150000000003E-4</v>
      </c>
    </row>
    <row r="120" spans="2:24" x14ac:dyDescent="0.25">
      <c r="B120">
        <v>0.33222309999999999</v>
      </c>
      <c r="C120">
        <v>7.4975910000000005E-4</v>
      </c>
      <c r="D120">
        <f t="shared" si="26"/>
        <v>3.2223400000000013E-2</v>
      </c>
      <c r="F120">
        <v>3.2223400000000013E-2</v>
      </c>
      <c r="G120">
        <v>7.4975910000000005E-4</v>
      </c>
      <c r="M120" t="s">
        <v>45</v>
      </c>
      <c r="N120" t="s">
        <v>242</v>
      </c>
      <c r="O120" t="s">
        <v>46</v>
      </c>
      <c r="P120" t="str">
        <f t="shared" si="31"/>
        <v/>
      </c>
      <c r="R120">
        <v>55</v>
      </c>
      <c r="S120">
        <v>1.5000600000000031E-2</v>
      </c>
      <c r="T120">
        <v>-1.686019E-3</v>
      </c>
      <c r="V120">
        <f>Tabela2[[#This Row],[mass-flow-rate]]/2</f>
        <v>-8.4300949999999999E-4</v>
      </c>
      <c r="X120">
        <f>V132</f>
        <v>3.8474804999999999E-4</v>
      </c>
    </row>
    <row r="121" spans="2:24" x14ac:dyDescent="0.25">
      <c r="B121">
        <v>0.33250089999999999</v>
      </c>
      <c r="C121">
        <v>1.349275E-3</v>
      </c>
      <c r="D121">
        <f t="shared" si="26"/>
        <v>3.2501200000000008E-2</v>
      </c>
      <c r="F121">
        <v>3.2501200000000008E-2</v>
      </c>
      <c r="G121">
        <v>1.349275E-3</v>
      </c>
      <c r="K121" t="s">
        <v>47</v>
      </c>
      <c r="L121" t="s">
        <v>103</v>
      </c>
      <c r="M121" t="s">
        <v>44</v>
      </c>
      <c r="P121">
        <f t="shared" ref="P121" si="53">IF(MOD(ROW(),2)=0,"",F111)</f>
        <v>2.9723300000000008E-2</v>
      </c>
      <c r="R121">
        <v>55</v>
      </c>
      <c r="X121">
        <f>V134</f>
        <v>3.8039569999999997E-4</v>
      </c>
    </row>
    <row r="122" spans="2:24" x14ac:dyDescent="0.25">
      <c r="B122">
        <v>0.33277869999999998</v>
      </c>
      <c r="C122">
        <v>2.372777E-3</v>
      </c>
      <c r="D122">
        <f t="shared" si="26"/>
        <v>3.2779000000000003E-2</v>
      </c>
      <c r="F122">
        <v>3.2779000000000003E-2</v>
      </c>
      <c r="G122">
        <v>2.372777E-3</v>
      </c>
      <c r="M122" t="s">
        <v>45</v>
      </c>
      <c r="N122" t="s">
        <v>242</v>
      </c>
      <c r="O122" t="s">
        <v>46</v>
      </c>
      <c r="P122" t="str">
        <f t="shared" si="31"/>
        <v/>
      </c>
      <c r="R122">
        <v>56</v>
      </c>
      <c r="S122">
        <v>1.5278400000000025E-2</v>
      </c>
      <c r="T122">
        <v>-1.700883E-3</v>
      </c>
      <c r="V122">
        <f>Tabela2[[#This Row],[mass-flow-rate]]/2</f>
        <v>-8.5044150000000002E-4</v>
      </c>
      <c r="X122">
        <f>V136</f>
        <v>1.540677E-4</v>
      </c>
    </row>
    <row r="123" spans="2:24" x14ac:dyDescent="0.25">
      <c r="B123">
        <v>0.33305639999999997</v>
      </c>
      <c r="C123">
        <v>2.7425129999999998E-3</v>
      </c>
      <c r="D123">
        <f t="shared" si="26"/>
        <v>3.3056699999999994E-2</v>
      </c>
      <c r="F123">
        <v>3.3056699999999994E-2</v>
      </c>
      <c r="G123">
        <v>2.7425129999999998E-3</v>
      </c>
      <c r="K123" t="s">
        <v>47</v>
      </c>
      <c r="L123" t="s">
        <v>104</v>
      </c>
      <c r="M123" t="s">
        <v>44</v>
      </c>
      <c r="P123">
        <f t="shared" ref="P123:P124" si="54">IF(MOD(ROW(),2)=0,"",F116)</f>
        <v>3.1112200000000034E-2</v>
      </c>
      <c r="R123">
        <v>56</v>
      </c>
      <c r="X123">
        <f>V138</f>
        <v>-2.472361E-4</v>
      </c>
    </row>
    <row r="124" spans="2:24" x14ac:dyDescent="0.25">
      <c r="B124">
        <v>0.33333420000000002</v>
      </c>
      <c r="C124">
        <v>2.1850559999999999E-3</v>
      </c>
      <c r="D124">
        <f t="shared" si="26"/>
        <v>3.3334500000000045E-2</v>
      </c>
      <c r="F124">
        <v>3.3334500000000045E-2</v>
      </c>
      <c r="G124">
        <v>2.1850559999999999E-3</v>
      </c>
      <c r="M124" t="s">
        <v>45</v>
      </c>
      <c r="N124" t="s">
        <v>242</v>
      </c>
      <c r="O124" t="s">
        <v>46</v>
      </c>
      <c r="P124" t="str">
        <f t="shared" si="54"/>
        <v/>
      </c>
      <c r="R124">
        <v>57</v>
      </c>
      <c r="S124">
        <v>1.5556100000000017E-2</v>
      </c>
      <c r="T124">
        <v>-1.29729E-3</v>
      </c>
      <c r="V124">
        <f>Tabela2[[#This Row],[mass-flow-rate]]/2</f>
        <v>-6.4864499999999999E-4</v>
      </c>
      <c r="X124">
        <f>V140</f>
        <v>-7.0754149999999996E-4</v>
      </c>
    </row>
    <row r="125" spans="2:24" x14ac:dyDescent="0.25">
      <c r="B125">
        <v>0.33361200000000002</v>
      </c>
      <c r="C125">
        <v>1.409081E-3</v>
      </c>
      <c r="D125">
        <f t="shared" si="26"/>
        <v>3.3612300000000039E-2</v>
      </c>
      <c r="F125">
        <v>3.3612300000000039E-2</v>
      </c>
      <c r="G125">
        <v>1.409081E-3</v>
      </c>
      <c r="K125" t="s">
        <v>47</v>
      </c>
      <c r="L125" t="s">
        <v>105</v>
      </c>
      <c r="M125" t="s">
        <v>44</v>
      </c>
      <c r="P125">
        <f t="shared" ref="P125" si="55">IF(MOD(ROW(),2)=0,"",F117)</f>
        <v>3.1390000000000029E-2</v>
      </c>
      <c r="R125">
        <v>57</v>
      </c>
      <c r="X125">
        <f>V142</f>
        <v>-9.0904150000000003E-4</v>
      </c>
    </row>
    <row r="126" spans="2:24" x14ac:dyDescent="0.25">
      <c r="B126">
        <v>0.33388980000000001</v>
      </c>
      <c r="C126">
        <v>6.4282320000000001E-4</v>
      </c>
      <c r="D126">
        <f t="shared" si="26"/>
        <v>3.3890100000000034E-2</v>
      </c>
      <c r="F126">
        <v>3.3890100000000034E-2</v>
      </c>
      <c r="G126">
        <v>6.4282320000000001E-4</v>
      </c>
      <c r="M126" t="s">
        <v>45</v>
      </c>
      <c r="N126" t="s">
        <v>242</v>
      </c>
      <c r="O126" t="s">
        <v>46</v>
      </c>
      <c r="P126" t="str">
        <f t="shared" si="31"/>
        <v/>
      </c>
      <c r="R126">
        <v>58</v>
      </c>
      <c r="S126">
        <v>1.5833900000000012E-2</v>
      </c>
      <c r="T126">
        <v>-7.2222140000000002E-4</v>
      </c>
      <c r="V126">
        <f>Tabela2[[#This Row],[mass-flow-rate]]/2</f>
        <v>-3.6111070000000001E-4</v>
      </c>
      <c r="X126">
        <f>V144</f>
        <v>-7.6918099999999997E-4</v>
      </c>
    </row>
    <row r="127" spans="2:24" x14ac:dyDescent="0.25">
      <c r="B127">
        <v>0.33416760000000001</v>
      </c>
      <c r="C127">
        <v>-1.7352350000000001E-4</v>
      </c>
      <c r="D127">
        <f t="shared" si="26"/>
        <v>3.4167900000000029E-2</v>
      </c>
      <c r="F127">
        <v>3.4167900000000029E-2</v>
      </c>
      <c r="G127">
        <v>-1.7352350000000001E-4</v>
      </c>
      <c r="K127" t="s">
        <v>47</v>
      </c>
      <c r="L127" t="s">
        <v>106</v>
      </c>
      <c r="M127" t="s">
        <v>44</v>
      </c>
      <c r="P127">
        <f t="shared" ref="P127" si="56">IF(MOD(ROW(),2)=0,"",F118)</f>
        <v>3.1667800000000024E-2</v>
      </c>
      <c r="R127">
        <v>58</v>
      </c>
      <c r="X127">
        <f>V146</f>
        <v>-5.2745349999999995E-4</v>
      </c>
    </row>
    <row r="128" spans="2:24" x14ac:dyDescent="0.25">
      <c r="B128">
        <v>0.3344454</v>
      </c>
      <c r="C128">
        <v>-6.7838860000000003E-4</v>
      </c>
      <c r="D128">
        <f t="shared" si="26"/>
        <v>3.4445700000000024E-2</v>
      </c>
      <c r="F128">
        <v>3.4445700000000024E-2</v>
      </c>
      <c r="G128">
        <v>-6.7838860000000003E-4</v>
      </c>
      <c r="M128" t="s">
        <v>45</v>
      </c>
      <c r="N128" t="s">
        <v>242</v>
      </c>
      <c r="O128" t="s">
        <v>46</v>
      </c>
      <c r="P128" t="str">
        <f t="shared" si="31"/>
        <v/>
      </c>
      <c r="R128">
        <v>59</v>
      </c>
      <c r="S128">
        <v>1.6111700000000007E-2</v>
      </c>
      <c r="T128">
        <v>-1.044077E-4</v>
      </c>
      <c r="V128">
        <f>Tabela2[[#This Row],[mass-flow-rate]]/2</f>
        <v>-5.220385E-5</v>
      </c>
      <c r="X128">
        <f>V148</f>
        <v>-2.7668125000000001E-4</v>
      </c>
    </row>
    <row r="129" spans="2:24" x14ac:dyDescent="0.25">
      <c r="B129">
        <v>0.3347232</v>
      </c>
      <c r="C129">
        <v>-1.056824E-3</v>
      </c>
      <c r="D129">
        <f t="shared" si="26"/>
        <v>3.4723500000000018E-2</v>
      </c>
      <c r="F129">
        <v>3.4723500000000018E-2</v>
      </c>
      <c r="G129">
        <v>-1.056824E-3</v>
      </c>
      <c r="K129" t="s">
        <v>47</v>
      </c>
      <c r="L129" t="s">
        <v>107</v>
      </c>
      <c r="M129" t="s">
        <v>44</v>
      </c>
      <c r="P129">
        <f t="shared" ref="P129" si="57">IF(MOD(ROW(),2)=0,"",F119)</f>
        <v>3.1945600000000018E-2</v>
      </c>
      <c r="R129">
        <v>59</v>
      </c>
      <c r="X129">
        <f>V150</f>
        <v>-4.6450345000000001E-5</v>
      </c>
    </row>
    <row r="130" spans="2:24" x14ac:dyDescent="0.25">
      <c r="B130">
        <v>0.33500099999999999</v>
      </c>
      <c r="C130">
        <v>-1.5263430000000001E-3</v>
      </c>
      <c r="D130">
        <f t="shared" si="26"/>
        <v>3.5001300000000013E-2</v>
      </c>
      <c r="F130">
        <v>3.5001300000000013E-2</v>
      </c>
      <c r="G130">
        <v>-1.5263430000000001E-3</v>
      </c>
      <c r="M130" t="s">
        <v>45</v>
      </c>
      <c r="N130" t="s">
        <v>242</v>
      </c>
      <c r="O130" t="s">
        <v>46</v>
      </c>
      <c r="P130" t="str">
        <f t="shared" si="31"/>
        <v/>
      </c>
      <c r="R130">
        <v>60</v>
      </c>
      <c r="S130">
        <v>1.6389500000000001E-2</v>
      </c>
      <c r="T130">
        <v>4.0257509999999999E-4</v>
      </c>
      <c r="V130">
        <f>Tabela2[[#This Row],[mass-flow-rate]]/2</f>
        <v>2.0128755E-4</v>
      </c>
      <c r="X130">
        <f>V152</f>
        <v>1.068313E-4</v>
      </c>
    </row>
    <row r="131" spans="2:24" x14ac:dyDescent="0.25">
      <c r="B131">
        <v>0.33527869999999999</v>
      </c>
      <c r="C131">
        <v>-1.691426E-3</v>
      </c>
      <c r="D131">
        <f t="shared" si="26"/>
        <v>3.5279000000000005E-2</v>
      </c>
      <c r="F131">
        <v>3.5279000000000005E-2</v>
      </c>
      <c r="G131">
        <v>-1.691426E-3</v>
      </c>
      <c r="K131" t="s">
        <v>47</v>
      </c>
      <c r="L131" t="s">
        <v>108</v>
      </c>
      <c r="M131" t="s">
        <v>44</v>
      </c>
      <c r="P131">
        <f t="shared" ref="P131:P132" si="58">IF(MOD(ROW(),2)=0,"",F124)</f>
        <v>3.3334500000000045E-2</v>
      </c>
      <c r="R131">
        <v>60</v>
      </c>
      <c r="X131">
        <f>V154</f>
        <v>1.9483584999999999E-4</v>
      </c>
    </row>
    <row r="132" spans="2:24" x14ac:dyDescent="0.25">
      <c r="B132">
        <v>0.33555649999999998</v>
      </c>
      <c r="C132">
        <v>-1.4207359999999999E-3</v>
      </c>
      <c r="D132">
        <f t="shared" si="26"/>
        <v>3.55568E-2</v>
      </c>
      <c r="F132">
        <v>3.55568E-2</v>
      </c>
      <c r="G132">
        <v>-1.4207359999999999E-3</v>
      </c>
      <c r="M132" t="s">
        <v>45</v>
      </c>
      <c r="N132" t="s">
        <v>242</v>
      </c>
      <c r="O132" t="s">
        <v>46</v>
      </c>
      <c r="P132" t="str">
        <f t="shared" si="58"/>
        <v/>
      </c>
      <c r="R132">
        <v>61</v>
      </c>
      <c r="S132">
        <v>1.6667299999999996E-2</v>
      </c>
      <c r="T132">
        <v>7.6949609999999997E-4</v>
      </c>
      <c r="V132">
        <f>Tabela2[[#This Row],[mass-flow-rate]]/2</f>
        <v>3.8474804999999999E-4</v>
      </c>
      <c r="X132">
        <f>V144</f>
        <v>-7.6918099999999997E-4</v>
      </c>
    </row>
    <row r="133" spans="2:24" x14ac:dyDescent="0.25">
      <c r="B133">
        <v>0.33583429999999997</v>
      </c>
      <c r="C133">
        <v>-9.6721060000000002E-4</v>
      </c>
      <c r="D133">
        <f t="shared" ref="D133:D196" si="59">B133-$B$4</f>
        <v>3.5834599999999994E-2</v>
      </c>
      <c r="F133">
        <v>3.5834599999999994E-2</v>
      </c>
      <c r="G133">
        <v>-9.6721060000000002E-4</v>
      </c>
      <c r="K133" t="s">
        <v>47</v>
      </c>
      <c r="L133" t="s">
        <v>109</v>
      </c>
      <c r="M133" t="s">
        <v>44</v>
      </c>
      <c r="P133">
        <f t="shared" ref="P133" si="60">IF(MOD(ROW(),2)=0,"",F125)</f>
        <v>3.3612300000000039E-2</v>
      </c>
      <c r="R133">
        <v>61</v>
      </c>
      <c r="X133">
        <f>V146</f>
        <v>-5.2745349999999995E-4</v>
      </c>
    </row>
    <row r="134" spans="2:24" x14ac:dyDescent="0.25">
      <c r="B134">
        <v>0.33611210000000002</v>
      </c>
      <c r="C134">
        <v>-4.1743990000000001E-4</v>
      </c>
      <c r="D134">
        <f t="shared" si="59"/>
        <v>3.6112400000000044E-2</v>
      </c>
      <c r="F134">
        <v>3.6112400000000044E-2</v>
      </c>
      <c r="G134">
        <v>-4.1743990000000001E-4</v>
      </c>
      <c r="M134" t="s">
        <v>45</v>
      </c>
      <c r="N134" t="s">
        <v>242</v>
      </c>
      <c r="O134" t="s">
        <v>46</v>
      </c>
      <c r="P134" t="str">
        <f t="shared" si="31"/>
        <v/>
      </c>
      <c r="R134">
        <v>62</v>
      </c>
      <c r="S134">
        <v>1.6945100000000046E-2</v>
      </c>
      <c r="T134">
        <v>7.6079139999999995E-4</v>
      </c>
      <c r="V134">
        <f>Tabela2[[#This Row],[mass-flow-rate]]/2</f>
        <v>3.8039569999999997E-4</v>
      </c>
      <c r="X134">
        <f>V148</f>
        <v>-2.7668125000000001E-4</v>
      </c>
    </row>
    <row r="135" spans="2:24" x14ac:dyDescent="0.25">
      <c r="B135">
        <v>0.33638990000000002</v>
      </c>
      <c r="C135">
        <v>8.969983E-5</v>
      </c>
      <c r="D135">
        <f t="shared" si="59"/>
        <v>3.6390200000000039E-2</v>
      </c>
      <c r="F135">
        <v>3.6390200000000039E-2</v>
      </c>
      <c r="G135">
        <v>8.969983E-5</v>
      </c>
      <c r="K135" t="s">
        <v>47</v>
      </c>
      <c r="L135" t="s">
        <v>110</v>
      </c>
      <c r="M135" t="s">
        <v>44</v>
      </c>
      <c r="P135">
        <f t="shared" ref="P135" si="61">IF(MOD(ROW(),2)=0,"",F126)</f>
        <v>3.3890100000000034E-2</v>
      </c>
      <c r="R135">
        <v>62</v>
      </c>
      <c r="X135">
        <f>V150</f>
        <v>-4.6450345000000001E-5</v>
      </c>
    </row>
    <row r="136" spans="2:24" x14ac:dyDescent="0.25">
      <c r="B136">
        <v>0.33666770000000001</v>
      </c>
      <c r="C136">
        <v>4.2639819999999999E-4</v>
      </c>
      <c r="D136">
        <f t="shared" si="59"/>
        <v>3.6668000000000034E-2</v>
      </c>
      <c r="F136">
        <v>3.6668000000000034E-2</v>
      </c>
      <c r="G136">
        <v>4.2639819999999999E-4</v>
      </c>
      <c r="M136" t="s">
        <v>45</v>
      </c>
      <c r="N136" t="s">
        <v>242</v>
      </c>
      <c r="O136" t="s">
        <v>46</v>
      </c>
      <c r="P136" t="str">
        <f t="shared" si="31"/>
        <v/>
      </c>
      <c r="R136">
        <v>63</v>
      </c>
      <c r="S136">
        <v>1.7222900000000041E-2</v>
      </c>
      <c r="T136">
        <v>3.0813539999999999E-4</v>
      </c>
      <c r="V136">
        <f>Tabela2[[#This Row],[mass-flow-rate]]/2</f>
        <v>1.540677E-4</v>
      </c>
      <c r="X136">
        <f>V152</f>
        <v>1.068313E-4</v>
      </c>
    </row>
    <row r="137" spans="2:24" x14ac:dyDescent="0.25">
      <c r="B137">
        <v>0.33694550000000001</v>
      </c>
      <c r="C137">
        <v>4.3617990000000001E-4</v>
      </c>
      <c r="D137">
        <f t="shared" si="59"/>
        <v>3.6945800000000029E-2</v>
      </c>
      <c r="F137">
        <v>3.6945800000000029E-2</v>
      </c>
      <c r="G137">
        <v>4.3617990000000001E-4</v>
      </c>
      <c r="K137" t="s">
        <v>47</v>
      </c>
      <c r="L137" t="s">
        <v>111</v>
      </c>
      <c r="M137" t="s">
        <v>44</v>
      </c>
      <c r="P137">
        <f t="shared" ref="P137" si="62">IF(MOD(ROW(),2)=0,"",F127)</f>
        <v>3.4167900000000029E-2</v>
      </c>
      <c r="R137">
        <v>63</v>
      </c>
      <c r="X137">
        <f>V154</f>
        <v>1.9483584999999999E-4</v>
      </c>
    </row>
    <row r="138" spans="2:24" x14ac:dyDescent="0.25">
      <c r="B138">
        <v>0.3372233</v>
      </c>
      <c r="C138">
        <v>-6.7972769999999997E-6</v>
      </c>
      <c r="D138">
        <f t="shared" si="59"/>
        <v>3.7223600000000023E-2</v>
      </c>
      <c r="F138">
        <v>3.7223600000000023E-2</v>
      </c>
      <c r="G138">
        <v>-6.7972769999999997E-6</v>
      </c>
      <c r="M138" t="s">
        <v>45</v>
      </c>
      <c r="N138" t="s">
        <v>242</v>
      </c>
      <c r="O138" t="s">
        <v>46</v>
      </c>
      <c r="P138" t="str">
        <f t="shared" si="31"/>
        <v/>
      </c>
      <c r="R138">
        <v>64</v>
      </c>
      <c r="S138">
        <v>1.7500700000000036E-2</v>
      </c>
      <c r="T138">
        <v>-4.9447219999999999E-4</v>
      </c>
      <c r="V138">
        <f>Tabela2[[#This Row],[mass-flow-rate]]/2</f>
        <v>-2.472361E-4</v>
      </c>
      <c r="X138">
        <f>V156</f>
        <v>2.4107965000000001E-4</v>
      </c>
    </row>
    <row r="139" spans="2:24" x14ac:dyDescent="0.25">
      <c r="B139">
        <v>0.337501</v>
      </c>
      <c r="C139">
        <v>-8.4443590000000002E-4</v>
      </c>
      <c r="D139">
        <f t="shared" si="59"/>
        <v>3.7501300000000015E-2</v>
      </c>
      <c r="F139">
        <v>3.7501300000000015E-2</v>
      </c>
      <c r="G139">
        <v>-8.4443590000000002E-4</v>
      </c>
      <c r="K139" t="s">
        <v>47</v>
      </c>
      <c r="L139" t="s">
        <v>112</v>
      </c>
      <c r="M139" t="s">
        <v>44</v>
      </c>
      <c r="P139">
        <f t="shared" ref="P139:P140" si="63">IF(MOD(ROW(),2)=0,"",F132)</f>
        <v>3.55568E-2</v>
      </c>
      <c r="R139">
        <v>64</v>
      </c>
      <c r="X139">
        <f>V158</f>
        <v>1.134348E-2</v>
      </c>
    </row>
    <row r="140" spans="2:24" x14ac:dyDescent="0.25">
      <c r="B140">
        <v>0.33777879999999999</v>
      </c>
      <c r="C140">
        <v>-1.5515710000000001E-3</v>
      </c>
      <c r="D140">
        <f t="shared" si="59"/>
        <v>3.777910000000001E-2</v>
      </c>
      <c r="F140">
        <v>3.777910000000001E-2</v>
      </c>
      <c r="G140">
        <v>-1.5515710000000001E-3</v>
      </c>
      <c r="M140" t="s">
        <v>45</v>
      </c>
      <c r="N140" t="s">
        <v>242</v>
      </c>
      <c r="O140" t="s">
        <v>46</v>
      </c>
      <c r="P140" t="str">
        <f t="shared" si="63"/>
        <v/>
      </c>
      <c r="R140">
        <v>65</v>
      </c>
      <c r="S140">
        <v>1.7778400000000028E-2</v>
      </c>
      <c r="T140">
        <v>-1.4150829999999999E-3</v>
      </c>
      <c r="V140">
        <f>Tabela2[[#This Row],[mass-flow-rate]]/2</f>
        <v>-7.0754149999999996E-4</v>
      </c>
      <c r="X140">
        <f>V160</f>
        <v>3.4142155E-2</v>
      </c>
    </row>
    <row r="141" spans="2:24" x14ac:dyDescent="0.25">
      <c r="B141">
        <v>0.33805659999999998</v>
      </c>
      <c r="C141">
        <v>-1.754818E-3</v>
      </c>
      <c r="D141">
        <f t="shared" si="59"/>
        <v>3.8056900000000005E-2</v>
      </c>
      <c r="F141">
        <v>3.8056900000000005E-2</v>
      </c>
      <c r="G141">
        <v>-1.754818E-3</v>
      </c>
      <c r="K141" t="s">
        <v>47</v>
      </c>
      <c r="L141" t="s">
        <v>113</v>
      </c>
      <c r="M141" t="s">
        <v>44</v>
      </c>
      <c r="P141">
        <f t="shared" ref="P141:P202" si="64">IF(MOD(ROW(),2)=0,"",F133)</f>
        <v>3.5834599999999994E-2</v>
      </c>
      <c r="R141">
        <v>65</v>
      </c>
      <c r="X141">
        <f>V162</f>
        <v>5.9376499999999999E-2</v>
      </c>
    </row>
    <row r="142" spans="2:24" x14ac:dyDescent="0.25">
      <c r="B142">
        <v>0.33833439999999998</v>
      </c>
      <c r="C142">
        <v>-1.332569E-3</v>
      </c>
      <c r="D142">
        <f t="shared" si="59"/>
        <v>3.8334699999999999E-2</v>
      </c>
      <c r="F142">
        <v>3.8334699999999999E-2</v>
      </c>
      <c r="G142">
        <v>-1.332569E-3</v>
      </c>
      <c r="M142" t="s">
        <v>45</v>
      </c>
      <c r="N142" t="s">
        <v>242</v>
      </c>
      <c r="O142" t="s">
        <v>46</v>
      </c>
      <c r="P142" t="str">
        <f t="shared" si="64"/>
        <v/>
      </c>
      <c r="R142">
        <v>66</v>
      </c>
      <c r="S142">
        <v>1.8056200000000022E-2</v>
      </c>
      <c r="T142">
        <v>-1.8180830000000001E-3</v>
      </c>
      <c r="V142">
        <f>Tabela2[[#This Row],[mass-flow-rate]]/2</f>
        <v>-9.0904150000000003E-4</v>
      </c>
      <c r="X142">
        <f>V164</f>
        <v>7.9449699999999998E-2</v>
      </c>
    </row>
    <row r="143" spans="2:24" x14ac:dyDescent="0.25">
      <c r="B143">
        <v>0.33861219999999997</v>
      </c>
      <c r="C143">
        <v>-8.3240950000000005E-4</v>
      </c>
      <c r="D143">
        <f t="shared" si="59"/>
        <v>3.8612499999999994E-2</v>
      </c>
      <c r="F143">
        <v>3.8612499999999994E-2</v>
      </c>
      <c r="G143">
        <v>-8.3240950000000005E-4</v>
      </c>
      <c r="K143" t="s">
        <v>47</v>
      </c>
      <c r="L143" t="s">
        <v>114</v>
      </c>
      <c r="M143" t="s">
        <v>44</v>
      </c>
      <c r="P143">
        <f t="shared" ref="P143" si="65">IF(MOD(ROW(),2)=0,"",F134)</f>
        <v>3.6112400000000044E-2</v>
      </c>
      <c r="R143">
        <v>66</v>
      </c>
      <c r="X143">
        <f>V166</f>
        <v>9.3519699999999997E-2</v>
      </c>
    </row>
    <row r="144" spans="2:24" x14ac:dyDescent="0.25">
      <c r="B144">
        <v>0.33889000000000002</v>
      </c>
      <c r="C144">
        <v>-3.146728E-4</v>
      </c>
      <c r="D144">
        <f t="shared" si="59"/>
        <v>3.8890300000000044E-2</v>
      </c>
      <c r="F144">
        <v>3.8890300000000044E-2</v>
      </c>
      <c r="G144">
        <v>-3.146728E-4</v>
      </c>
      <c r="M144" t="s">
        <v>45</v>
      </c>
      <c r="N144" t="s">
        <v>242</v>
      </c>
      <c r="O144" t="s">
        <v>46</v>
      </c>
      <c r="P144" t="str">
        <f t="shared" si="64"/>
        <v/>
      </c>
      <c r="R144">
        <v>67</v>
      </c>
      <c r="S144">
        <v>1.8334000000000017E-2</v>
      </c>
      <c r="T144">
        <v>-1.5383619999999999E-3</v>
      </c>
      <c r="V144">
        <f>Tabela2[[#This Row],[mass-flow-rate]]/2</f>
        <v>-7.6918099999999997E-4</v>
      </c>
      <c r="X144">
        <f>V156</f>
        <v>2.4107965000000001E-4</v>
      </c>
    </row>
    <row r="145" spans="2:24" x14ac:dyDescent="0.25">
      <c r="B145">
        <v>0.33916780000000002</v>
      </c>
      <c r="C145">
        <v>9.4607359999999995E-5</v>
      </c>
      <c r="D145">
        <f t="shared" si="59"/>
        <v>3.9168100000000039E-2</v>
      </c>
      <c r="F145">
        <v>3.9168100000000039E-2</v>
      </c>
      <c r="G145">
        <v>9.4607359999999995E-5</v>
      </c>
      <c r="K145" t="s">
        <v>47</v>
      </c>
      <c r="L145" t="s">
        <v>115</v>
      </c>
      <c r="M145" t="s">
        <v>44</v>
      </c>
      <c r="P145">
        <f t="shared" ref="P145" si="66">IF(MOD(ROW(),2)=0,"",F135)</f>
        <v>3.6390200000000039E-2</v>
      </c>
      <c r="R145">
        <v>67</v>
      </c>
      <c r="X145">
        <f>V158</f>
        <v>1.134348E-2</v>
      </c>
    </row>
    <row r="146" spans="2:24" x14ac:dyDescent="0.25">
      <c r="B146">
        <v>0.33944560000000001</v>
      </c>
      <c r="C146">
        <v>3.2599259999999998E-4</v>
      </c>
      <c r="D146">
        <f t="shared" si="59"/>
        <v>3.9445900000000034E-2</v>
      </c>
      <c r="F146">
        <v>3.9445900000000034E-2</v>
      </c>
      <c r="G146">
        <v>3.2599259999999998E-4</v>
      </c>
      <c r="M146" t="s">
        <v>45</v>
      </c>
      <c r="N146" t="s">
        <v>242</v>
      </c>
      <c r="O146" t="s">
        <v>46</v>
      </c>
      <c r="P146" t="str">
        <f t="shared" si="64"/>
        <v/>
      </c>
      <c r="R146">
        <v>68</v>
      </c>
      <c r="S146">
        <v>1.8611800000000012E-2</v>
      </c>
      <c r="T146">
        <v>-1.0549069999999999E-3</v>
      </c>
      <c r="V146">
        <f>Tabela2[[#This Row],[mass-flow-rate]]/2</f>
        <v>-5.2745349999999995E-4</v>
      </c>
      <c r="X146">
        <f>V160</f>
        <v>3.4142155E-2</v>
      </c>
    </row>
    <row r="147" spans="2:24" x14ac:dyDescent="0.25">
      <c r="B147">
        <v>0.33972330000000001</v>
      </c>
      <c r="C147">
        <v>4.3223840000000002E-4</v>
      </c>
      <c r="D147">
        <f t="shared" si="59"/>
        <v>3.9723600000000026E-2</v>
      </c>
      <c r="F147">
        <v>3.9723600000000026E-2</v>
      </c>
      <c r="G147">
        <v>4.3223840000000002E-4</v>
      </c>
      <c r="K147" t="s">
        <v>47</v>
      </c>
      <c r="L147" t="s">
        <v>116</v>
      </c>
      <c r="M147" t="s">
        <v>44</v>
      </c>
      <c r="P147">
        <f t="shared" ref="P147:P148" si="67">IF(MOD(ROW(),2)=0,"",F140)</f>
        <v>3.777910000000001E-2</v>
      </c>
      <c r="R147">
        <v>68</v>
      </c>
      <c r="X147">
        <f>V162</f>
        <v>5.9376499999999999E-2</v>
      </c>
    </row>
    <row r="148" spans="2:24" x14ac:dyDescent="0.25">
      <c r="B148">
        <v>0.3400011</v>
      </c>
      <c r="C148">
        <v>4.9243150000000005E-4</v>
      </c>
      <c r="D148">
        <f t="shared" si="59"/>
        <v>4.000140000000002E-2</v>
      </c>
      <c r="F148">
        <v>4.000140000000002E-2</v>
      </c>
      <c r="G148">
        <v>4.9243150000000005E-4</v>
      </c>
      <c r="M148" t="s">
        <v>45</v>
      </c>
      <c r="N148" t="s">
        <v>242</v>
      </c>
      <c r="O148" t="s">
        <v>46</v>
      </c>
      <c r="P148" t="str">
        <f t="shared" si="67"/>
        <v/>
      </c>
      <c r="R148">
        <v>69</v>
      </c>
      <c r="S148">
        <v>1.8889600000000006E-2</v>
      </c>
      <c r="T148">
        <v>-5.5336250000000001E-4</v>
      </c>
      <c r="V148">
        <f>Tabela2[[#This Row],[mass-flow-rate]]/2</f>
        <v>-2.7668125000000001E-4</v>
      </c>
      <c r="X148">
        <f>V164</f>
        <v>7.9449699999999998E-2</v>
      </c>
    </row>
    <row r="149" spans="2:24" x14ac:dyDescent="0.25">
      <c r="B149">
        <v>0.3402789</v>
      </c>
      <c r="C149">
        <v>2.268059E-2</v>
      </c>
      <c r="D149">
        <f t="shared" si="59"/>
        <v>4.0279200000000015E-2</v>
      </c>
      <c r="F149">
        <v>4.0279200000000015E-2</v>
      </c>
      <c r="G149">
        <v>2.268059E-2</v>
      </c>
      <c r="K149" t="s">
        <v>47</v>
      </c>
      <c r="L149" t="s">
        <v>117</v>
      </c>
      <c r="M149" t="s">
        <v>44</v>
      </c>
      <c r="P149">
        <f t="shared" ref="P149" si="68">IF(MOD(ROW(),2)=0,"",F141)</f>
        <v>3.8056900000000005E-2</v>
      </c>
      <c r="R149">
        <v>69</v>
      </c>
      <c r="X149">
        <f>V166</f>
        <v>9.3519699999999997E-2</v>
      </c>
    </row>
    <row r="150" spans="2:24" x14ac:dyDescent="0.25">
      <c r="B150">
        <v>0.34055669999999999</v>
      </c>
      <c r="C150">
        <v>6.8236850000000002E-2</v>
      </c>
      <c r="D150">
        <f t="shared" si="59"/>
        <v>4.055700000000001E-2</v>
      </c>
      <c r="F150">
        <v>4.055700000000001E-2</v>
      </c>
      <c r="G150">
        <v>6.8236850000000002E-2</v>
      </c>
      <c r="M150" t="s">
        <v>45</v>
      </c>
      <c r="N150" t="s">
        <v>242</v>
      </c>
      <c r="O150" t="s">
        <v>46</v>
      </c>
      <c r="P150" t="str">
        <f t="shared" si="64"/>
        <v/>
      </c>
      <c r="R150">
        <v>70</v>
      </c>
      <c r="S150">
        <v>1.9167400000000001E-2</v>
      </c>
      <c r="T150">
        <v>-9.2900690000000002E-5</v>
      </c>
      <c r="V150">
        <f>Tabela2[[#This Row],[mass-flow-rate]]/2</f>
        <v>-4.6450345000000001E-5</v>
      </c>
      <c r="X150">
        <f>V168</f>
        <v>0.10776115</v>
      </c>
    </row>
    <row r="151" spans="2:24" x14ac:dyDescent="0.25">
      <c r="B151">
        <v>0.34083449999999998</v>
      </c>
      <c r="C151">
        <v>0.1186624</v>
      </c>
      <c r="D151">
        <f t="shared" si="59"/>
        <v>4.0834800000000004E-2</v>
      </c>
      <c r="F151">
        <v>4.0834800000000004E-2</v>
      </c>
      <c r="G151">
        <v>0.1186624</v>
      </c>
      <c r="K151" t="s">
        <v>47</v>
      </c>
      <c r="L151" t="s">
        <v>118</v>
      </c>
      <c r="M151" t="s">
        <v>44</v>
      </c>
      <c r="P151">
        <f t="shared" ref="P151" si="69">IF(MOD(ROW(),2)=0,"",F142)</f>
        <v>3.8334699999999999E-2</v>
      </c>
      <c r="R151">
        <v>70</v>
      </c>
      <c r="X151">
        <f>V170</f>
        <v>0.12007045</v>
      </c>
    </row>
    <row r="152" spans="2:24" x14ac:dyDescent="0.25">
      <c r="B152">
        <v>0.34111229999999998</v>
      </c>
      <c r="C152">
        <v>0.15887090000000001</v>
      </c>
      <c r="D152">
        <f t="shared" si="59"/>
        <v>4.1112599999999999E-2</v>
      </c>
      <c r="F152">
        <v>4.1112599999999999E-2</v>
      </c>
      <c r="G152">
        <v>0.15887090000000001</v>
      </c>
      <c r="M152" t="s">
        <v>45</v>
      </c>
      <c r="N152" t="s">
        <v>271</v>
      </c>
      <c r="O152" t="s">
        <v>46</v>
      </c>
      <c r="P152" t="str">
        <f t="shared" si="64"/>
        <v/>
      </c>
      <c r="R152">
        <v>71</v>
      </c>
      <c r="S152">
        <v>1.9445199999999996E-2</v>
      </c>
      <c r="T152">
        <v>2.136626E-4</v>
      </c>
      <c r="V152">
        <f>Tabela2[[#This Row],[mass-flow-rate]]/2</f>
        <v>1.068313E-4</v>
      </c>
      <c r="X152">
        <f>V172</f>
        <v>0.129607</v>
      </c>
    </row>
    <row r="153" spans="2:24" x14ac:dyDescent="0.25">
      <c r="B153">
        <v>0.34139009999999997</v>
      </c>
      <c r="C153">
        <v>0.1873196</v>
      </c>
      <c r="D153">
        <f t="shared" si="59"/>
        <v>4.1390399999999994E-2</v>
      </c>
      <c r="F153">
        <v>4.1390399999999994E-2</v>
      </c>
      <c r="G153">
        <v>0.1873196</v>
      </c>
      <c r="K153" t="s">
        <v>47</v>
      </c>
      <c r="L153" t="s">
        <v>119</v>
      </c>
      <c r="M153" t="s">
        <v>44</v>
      </c>
      <c r="P153">
        <f t="shared" ref="P153" si="70">IF(MOD(ROW(),2)=0,"",F143)</f>
        <v>3.8612499999999994E-2</v>
      </c>
      <c r="R153">
        <v>71</v>
      </c>
      <c r="X153">
        <f>V174</f>
        <v>0.13809660000000001</v>
      </c>
    </row>
    <row r="154" spans="2:24" x14ac:dyDescent="0.25">
      <c r="B154">
        <v>0.34166790000000002</v>
      </c>
      <c r="C154">
        <v>0.2160706</v>
      </c>
      <c r="D154">
        <f t="shared" si="59"/>
        <v>4.1668200000000044E-2</v>
      </c>
      <c r="F154">
        <v>4.1668200000000044E-2</v>
      </c>
      <c r="G154">
        <v>0.2160706</v>
      </c>
      <c r="M154" t="s">
        <v>45</v>
      </c>
      <c r="N154" t="s">
        <v>272</v>
      </c>
      <c r="O154" t="s">
        <v>46</v>
      </c>
      <c r="P154" t="str">
        <f t="shared" si="64"/>
        <v/>
      </c>
      <c r="R154">
        <v>72</v>
      </c>
      <c r="S154">
        <v>1.9723000000000046E-2</v>
      </c>
      <c r="T154">
        <v>3.8967169999999998E-4</v>
      </c>
      <c r="V154">
        <f>Tabela2[[#This Row],[mass-flow-rate]]/2</f>
        <v>1.9483584999999999E-4</v>
      </c>
      <c r="X154">
        <f>V176</f>
        <v>0.14939174999999999</v>
      </c>
    </row>
    <row r="155" spans="2:24" x14ac:dyDescent="0.25">
      <c r="B155">
        <v>0.34194560000000002</v>
      </c>
      <c r="C155">
        <v>0.2405091</v>
      </c>
      <c r="D155">
        <f t="shared" si="59"/>
        <v>4.1945900000000036E-2</v>
      </c>
      <c r="F155">
        <v>4.1945900000000036E-2</v>
      </c>
      <c r="G155">
        <v>0.2405091</v>
      </c>
      <c r="K155" t="s">
        <v>47</v>
      </c>
      <c r="L155" t="s">
        <v>120</v>
      </c>
      <c r="M155" t="s">
        <v>44</v>
      </c>
      <c r="P155">
        <f t="shared" ref="P155:P156" si="71">IF(MOD(ROW(),2)=0,"",F148)</f>
        <v>4.000140000000002E-2</v>
      </c>
      <c r="R155">
        <v>72</v>
      </c>
      <c r="X155">
        <f>V178</f>
        <v>0.1617526</v>
      </c>
    </row>
    <row r="156" spans="2:24" x14ac:dyDescent="0.25">
      <c r="B156">
        <v>0.34222340000000001</v>
      </c>
      <c r="C156">
        <v>0.2587256</v>
      </c>
      <c r="D156">
        <f t="shared" si="59"/>
        <v>4.2223700000000031E-2</v>
      </c>
      <c r="F156">
        <v>4.2223700000000031E-2</v>
      </c>
      <c r="G156">
        <v>0.2587256</v>
      </c>
      <c r="M156" t="s">
        <v>45</v>
      </c>
      <c r="N156" t="s">
        <v>273</v>
      </c>
      <c r="O156" t="s">
        <v>46</v>
      </c>
      <c r="P156" t="str">
        <f t="shared" si="71"/>
        <v/>
      </c>
      <c r="R156">
        <v>73</v>
      </c>
      <c r="S156">
        <v>2.0000700000000038E-2</v>
      </c>
      <c r="T156">
        <v>4.8215930000000001E-4</v>
      </c>
      <c r="V156">
        <f>Tabela2[[#This Row],[mass-flow-rate]]/2</f>
        <v>2.4107965000000001E-4</v>
      </c>
      <c r="X156">
        <f>V168</f>
        <v>0.10776115</v>
      </c>
    </row>
    <row r="157" spans="2:24" x14ac:dyDescent="0.25">
      <c r="B157">
        <v>0.34250120000000001</v>
      </c>
      <c r="C157">
        <v>0.2754318</v>
      </c>
      <c r="D157">
        <f t="shared" si="59"/>
        <v>4.2501500000000025E-2</v>
      </c>
      <c r="F157">
        <v>4.2501500000000025E-2</v>
      </c>
      <c r="G157">
        <v>0.2754318</v>
      </c>
      <c r="K157" t="s">
        <v>47</v>
      </c>
      <c r="L157" t="s">
        <v>121</v>
      </c>
      <c r="M157" t="s">
        <v>44</v>
      </c>
      <c r="P157">
        <f t="shared" ref="P157" si="72">IF(MOD(ROW(),2)=0,"",F149)</f>
        <v>4.0279200000000015E-2</v>
      </c>
      <c r="R157">
        <v>73</v>
      </c>
      <c r="X157">
        <f>V170</f>
        <v>0.12007045</v>
      </c>
    </row>
    <row r="158" spans="2:24" x14ac:dyDescent="0.25">
      <c r="B158">
        <v>0.342779</v>
      </c>
      <c r="C158">
        <v>0.29894219999999999</v>
      </c>
      <c r="D158">
        <f t="shared" si="59"/>
        <v>4.277930000000002E-2</v>
      </c>
      <c r="F158">
        <v>4.277930000000002E-2</v>
      </c>
      <c r="G158">
        <v>0.29894219999999999</v>
      </c>
      <c r="M158" t="s">
        <v>45</v>
      </c>
      <c r="N158" t="s">
        <v>274</v>
      </c>
      <c r="O158" t="s">
        <v>46</v>
      </c>
      <c r="P158" t="str">
        <f t="shared" si="64"/>
        <v/>
      </c>
      <c r="R158">
        <v>74</v>
      </c>
      <c r="S158">
        <v>2.0278500000000033E-2</v>
      </c>
      <c r="T158">
        <v>2.2686959999999999E-2</v>
      </c>
      <c r="V158">
        <f>Tabela2[[#This Row],[mass-flow-rate]]/2</f>
        <v>1.134348E-2</v>
      </c>
      <c r="X158">
        <f>V172</f>
        <v>0.129607</v>
      </c>
    </row>
    <row r="159" spans="2:24" x14ac:dyDescent="0.25">
      <c r="B159">
        <v>0.3430568</v>
      </c>
      <c r="C159">
        <v>0.32504519999999998</v>
      </c>
      <c r="D159">
        <f t="shared" si="59"/>
        <v>4.3057100000000015E-2</v>
      </c>
      <c r="F159">
        <v>4.3057100000000015E-2</v>
      </c>
      <c r="G159">
        <v>0.32504519999999998</v>
      </c>
      <c r="K159" t="s">
        <v>47</v>
      </c>
      <c r="L159" t="s">
        <v>122</v>
      </c>
      <c r="M159" t="s">
        <v>44</v>
      </c>
      <c r="P159">
        <f t="shared" ref="P159" si="73">IF(MOD(ROW(),2)=0,"",F150)</f>
        <v>4.055700000000001E-2</v>
      </c>
      <c r="R159">
        <v>74</v>
      </c>
      <c r="X159">
        <f>V174</f>
        <v>0.13809660000000001</v>
      </c>
    </row>
    <row r="160" spans="2:24" x14ac:dyDescent="0.25">
      <c r="B160">
        <v>0.34333459999999999</v>
      </c>
      <c r="C160">
        <v>0.34800560000000003</v>
      </c>
      <c r="D160">
        <f t="shared" si="59"/>
        <v>4.333490000000001E-2</v>
      </c>
      <c r="F160">
        <v>4.333490000000001E-2</v>
      </c>
      <c r="G160">
        <v>0.34800560000000003</v>
      </c>
      <c r="M160" t="s">
        <v>45</v>
      </c>
      <c r="N160" t="s">
        <v>275</v>
      </c>
      <c r="O160" t="s">
        <v>46</v>
      </c>
      <c r="P160" t="str">
        <f t="shared" si="64"/>
        <v/>
      </c>
      <c r="R160">
        <v>75</v>
      </c>
      <c r="S160">
        <v>2.0556300000000027E-2</v>
      </c>
      <c r="T160">
        <v>6.8284310000000001E-2</v>
      </c>
      <c r="V160">
        <f>Tabela2[[#This Row],[mass-flow-rate]]/2</f>
        <v>3.4142155E-2</v>
      </c>
      <c r="X160">
        <f>V176</f>
        <v>0.14939174999999999</v>
      </c>
    </row>
    <row r="161" spans="2:24" x14ac:dyDescent="0.25">
      <c r="B161">
        <v>0.34361239999999998</v>
      </c>
      <c r="C161">
        <v>0.3630177</v>
      </c>
      <c r="D161">
        <f t="shared" si="59"/>
        <v>4.3612700000000004E-2</v>
      </c>
      <c r="F161">
        <v>4.3612700000000004E-2</v>
      </c>
      <c r="G161">
        <v>0.3630177</v>
      </c>
      <c r="K161" t="s">
        <v>47</v>
      </c>
      <c r="L161" t="s">
        <v>123</v>
      </c>
      <c r="M161" t="s">
        <v>44</v>
      </c>
      <c r="P161">
        <f t="shared" ref="P161" si="74">IF(MOD(ROW(),2)=0,"",F151)</f>
        <v>4.0834800000000004E-2</v>
      </c>
      <c r="R161">
        <v>75</v>
      </c>
      <c r="X161">
        <f>V178</f>
        <v>0.1617526</v>
      </c>
    </row>
    <row r="162" spans="2:24" x14ac:dyDescent="0.25">
      <c r="B162">
        <v>0.34389019999999998</v>
      </c>
      <c r="C162">
        <v>0.37627959999999999</v>
      </c>
      <c r="D162">
        <f t="shared" si="59"/>
        <v>4.3890499999999999E-2</v>
      </c>
      <c r="F162">
        <v>4.3890499999999999E-2</v>
      </c>
      <c r="G162">
        <v>0.37627959999999999</v>
      </c>
      <c r="M162" t="s">
        <v>45</v>
      </c>
      <c r="N162" t="s">
        <v>276</v>
      </c>
      <c r="O162" t="s">
        <v>46</v>
      </c>
      <c r="P162" t="str">
        <f t="shared" si="64"/>
        <v/>
      </c>
      <c r="R162">
        <v>76</v>
      </c>
      <c r="S162">
        <v>2.0834100000000022E-2</v>
      </c>
      <c r="T162">
        <v>0.118753</v>
      </c>
      <c r="V162">
        <f>Tabela2[[#This Row],[mass-flow-rate]]/2</f>
        <v>5.9376499999999999E-2</v>
      </c>
      <c r="X162">
        <f>V180</f>
        <v>0.17255935</v>
      </c>
    </row>
    <row r="163" spans="2:24" x14ac:dyDescent="0.25">
      <c r="B163">
        <v>0.34416790000000003</v>
      </c>
      <c r="C163">
        <v>0.38860509999999998</v>
      </c>
      <c r="D163">
        <f t="shared" si="59"/>
        <v>4.4168200000000046E-2</v>
      </c>
      <c r="F163">
        <v>4.4168200000000046E-2</v>
      </c>
      <c r="G163">
        <v>0.38860509999999998</v>
      </c>
      <c r="K163" t="s">
        <v>47</v>
      </c>
      <c r="L163" t="s">
        <v>124</v>
      </c>
      <c r="M163" t="s">
        <v>44</v>
      </c>
      <c r="P163">
        <f t="shared" ref="P163:P164" si="75">IF(MOD(ROW(),2)=0,"",F156)</f>
        <v>4.2223700000000031E-2</v>
      </c>
      <c r="R163">
        <v>76</v>
      </c>
      <c r="X163">
        <f>V182</f>
        <v>0.1796073</v>
      </c>
    </row>
    <row r="164" spans="2:24" x14ac:dyDescent="0.25">
      <c r="B164">
        <v>0.34444570000000002</v>
      </c>
      <c r="C164">
        <v>0.39643270000000003</v>
      </c>
      <c r="D164">
        <f t="shared" si="59"/>
        <v>4.4446000000000041E-2</v>
      </c>
      <c r="F164">
        <v>4.4446000000000041E-2</v>
      </c>
      <c r="G164">
        <v>0.39643270000000003</v>
      </c>
      <c r="M164" t="s">
        <v>45</v>
      </c>
      <c r="N164" t="s">
        <v>277</v>
      </c>
      <c r="O164" t="s">
        <v>46</v>
      </c>
      <c r="P164" t="str">
        <f t="shared" si="75"/>
        <v/>
      </c>
      <c r="R164">
        <v>77</v>
      </c>
      <c r="S164">
        <v>2.1111900000000017E-2</v>
      </c>
      <c r="T164">
        <v>0.1588994</v>
      </c>
      <c r="V164">
        <f>Tabela2[[#This Row],[mass-flow-rate]]/2</f>
        <v>7.9449699999999998E-2</v>
      </c>
      <c r="X164">
        <f>V184</f>
        <v>0.18618960000000001</v>
      </c>
    </row>
    <row r="165" spans="2:24" x14ac:dyDescent="0.25">
      <c r="B165">
        <v>0.34472350000000002</v>
      </c>
      <c r="C165">
        <v>0.39512570000000002</v>
      </c>
      <c r="D165">
        <f t="shared" si="59"/>
        <v>4.4723800000000036E-2</v>
      </c>
      <c r="F165">
        <v>4.4723800000000036E-2</v>
      </c>
      <c r="G165">
        <v>0.39512570000000002</v>
      </c>
      <c r="K165" t="s">
        <v>47</v>
      </c>
      <c r="L165" t="s">
        <v>125</v>
      </c>
      <c r="M165" t="s">
        <v>44</v>
      </c>
      <c r="P165">
        <f t="shared" ref="P165" si="76">IF(MOD(ROW(),2)=0,"",F157)</f>
        <v>4.2501500000000025E-2</v>
      </c>
      <c r="R165">
        <v>77</v>
      </c>
      <c r="X165">
        <f>V186</f>
        <v>0.19262014999999999</v>
      </c>
    </row>
    <row r="166" spans="2:24" x14ac:dyDescent="0.25">
      <c r="B166">
        <v>0.34500130000000001</v>
      </c>
      <c r="C166">
        <v>0.3871289</v>
      </c>
      <c r="D166">
        <f t="shared" si="59"/>
        <v>4.500160000000003E-2</v>
      </c>
      <c r="F166">
        <v>4.500160000000003E-2</v>
      </c>
      <c r="G166">
        <v>0.3871289</v>
      </c>
      <c r="M166" t="s">
        <v>45</v>
      </c>
      <c r="N166" t="s">
        <v>278</v>
      </c>
      <c r="O166" t="s">
        <v>46</v>
      </c>
      <c r="P166" t="str">
        <f t="shared" si="64"/>
        <v/>
      </c>
      <c r="R166">
        <v>78</v>
      </c>
      <c r="S166">
        <v>2.1389700000000011E-2</v>
      </c>
      <c r="T166">
        <v>0.18703939999999999</v>
      </c>
      <c r="V166">
        <f>Tabela2[[#This Row],[mass-flow-rate]]/2</f>
        <v>9.3519699999999997E-2</v>
      </c>
      <c r="X166">
        <f>V188</f>
        <v>0.19674815000000001</v>
      </c>
    </row>
    <row r="167" spans="2:24" x14ac:dyDescent="0.25">
      <c r="B167">
        <v>0.34527910000000001</v>
      </c>
      <c r="C167">
        <v>0.3653421</v>
      </c>
      <c r="D167">
        <f t="shared" si="59"/>
        <v>4.5279400000000025E-2</v>
      </c>
      <c r="F167">
        <v>4.5279400000000025E-2</v>
      </c>
      <c r="G167">
        <v>0.3653421</v>
      </c>
      <c r="K167" t="s">
        <v>47</v>
      </c>
      <c r="L167" t="s">
        <v>126</v>
      </c>
      <c r="M167" t="s">
        <v>44</v>
      </c>
      <c r="P167">
        <f t="shared" ref="P167" si="77">IF(MOD(ROW(),2)=0,"",F158)</f>
        <v>4.277930000000002E-2</v>
      </c>
      <c r="R167">
        <v>78</v>
      </c>
      <c r="X167">
        <f>V190</f>
        <v>0.19594349999999999</v>
      </c>
    </row>
    <row r="168" spans="2:24" x14ac:dyDescent="0.25">
      <c r="B168">
        <v>0.3455569</v>
      </c>
      <c r="C168">
        <v>0.33314630000000001</v>
      </c>
      <c r="D168">
        <f t="shared" si="59"/>
        <v>4.555720000000002E-2</v>
      </c>
      <c r="F168">
        <v>4.555720000000002E-2</v>
      </c>
      <c r="G168">
        <v>0.33314630000000001</v>
      </c>
      <c r="M168" t="s">
        <v>45</v>
      </c>
      <c r="N168" t="s">
        <v>279</v>
      </c>
      <c r="O168" t="s">
        <v>46</v>
      </c>
      <c r="P168" t="str">
        <f t="shared" si="64"/>
        <v/>
      </c>
      <c r="R168">
        <v>79</v>
      </c>
      <c r="S168">
        <v>2.1667500000000006E-2</v>
      </c>
      <c r="T168">
        <v>0.2155223</v>
      </c>
      <c r="V168">
        <f>Tabela2[[#This Row],[mass-flow-rate]]/2</f>
        <v>0.10776115</v>
      </c>
      <c r="X168">
        <f>V180</f>
        <v>0.17255935</v>
      </c>
    </row>
    <row r="169" spans="2:24" x14ac:dyDescent="0.25">
      <c r="B169">
        <v>0.34583469999999999</v>
      </c>
      <c r="C169">
        <v>0.29474590000000001</v>
      </c>
      <c r="D169">
        <f t="shared" si="59"/>
        <v>4.5835000000000015E-2</v>
      </c>
      <c r="F169">
        <v>4.5835000000000015E-2</v>
      </c>
      <c r="G169">
        <v>0.29474590000000001</v>
      </c>
      <c r="K169" t="s">
        <v>47</v>
      </c>
      <c r="L169" t="s">
        <v>127</v>
      </c>
      <c r="M169" t="s">
        <v>44</v>
      </c>
      <c r="P169">
        <f t="shared" ref="P169" si="78">IF(MOD(ROW(),2)=0,"",F159)</f>
        <v>4.3057100000000015E-2</v>
      </c>
      <c r="R169">
        <v>79</v>
      </c>
      <c r="X169">
        <f>V182</f>
        <v>0.1796073</v>
      </c>
    </row>
    <row r="170" spans="2:24" x14ac:dyDescent="0.25">
      <c r="B170">
        <v>0.34611249999999999</v>
      </c>
      <c r="C170">
        <v>0.25303740000000002</v>
      </c>
      <c r="D170">
        <f t="shared" si="59"/>
        <v>4.6112800000000009E-2</v>
      </c>
      <c r="F170">
        <v>4.6112800000000009E-2</v>
      </c>
      <c r="G170">
        <v>0.25303740000000002</v>
      </c>
      <c r="M170" t="s">
        <v>45</v>
      </c>
      <c r="N170" t="s">
        <v>280</v>
      </c>
      <c r="O170" t="s">
        <v>46</v>
      </c>
      <c r="P170" t="str">
        <f t="shared" si="64"/>
        <v/>
      </c>
      <c r="R170">
        <v>80</v>
      </c>
      <c r="S170">
        <v>2.1945300000000001E-2</v>
      </c>
      <c r="T170">
        <v>0.24014089999999999</v>
      </c>
      <c r="V170">
        <f>Tabela2[[#This Row],[mass-flow-rate]]/2</f>
        <v>0.12007045</v>
      </c>
      <c r="X170">
        <f>V184</f>
        <v>0.18618960000000001</v>
      </c>
    </row>
    <row r="171" spans="2:24" x14ac:dyDescent="0.25">
      <c r="B171">
        <v>0.34639019999999998</v>
      </c>
      <c r="C171">
        <v>0.20991219999999999</v>
      </c>
      <c r="D171">
        <f t="shared" si="59"/>
        <v>4.6390500000000001E-2</v>
      </c>
      <c r="F171">
        <v>4.6390500000000001E-2</v>
      </c>
      <c r="G171">
        <v>0.20991219999999999</v>
      </c>
      <c r="K171" t="s">
        <v>47</v>
      </c>
      <c r="L171" t="s">
        <v>128</v>
      </c>
      <c r="M171" t="s">
        <v>44</v>
      </c>
      <c r="P171">
        <f t="shared" ref="P171:P172" si="79">IF(MOD(ROW(),2)=0,"",F164)</f>
        <v>4.4446000000000041E-2</v>
      </c>
      <c r="R171">
        <v>80</v>
      </c>
      <c r="X171">
        <f>V186</f>
        <v>0.19262014999999999</v>
      </c>
    </row>
    <row r="172" spans="2:24" x14ac:dyDescent="0.25">
      <c r="B172">
        <v>0.34666799999999998</v>
      </c>
      <c r="C172">
        <v>0.17171710000000001</v>
      </c>
      <c r="D172">
        <f t="shared" si="59"/>
        <v>4.6668299999999996E-2</v>
      </c>
      <c r="F172">
        <v>4.6668299999999996E-2</v>
      </c>
      <c r="G172">
        <v>0.17171710000000001</v>
      </c>
      <c r="M172" t="s">
        <v>45</v>
      </c>
      <c r="N172" t="s">
        <v>281</v>
      </c>
      <c r="O172" t="s">
        <v>46</v>
      </c>
      <c r="P172" t="str">
        <f t="shared" si="79"/>
        <v/>
      </c>
      <c r="R172">
        <v>81</v>
      </c>
      <c r="S172">
        <v>2.2222999999999993E-2</v>
      </c>
      <c r="T172">
        <v>0.259214</v>
      </c>
      <c r="V172">
        <f>Tabela2[[#This Row],[mass-flow-rate]]/2</f>
        <v>0.129607</v>
      </c>
      <c r="X172">
        <f>V188</f>
        <v>0.19674815000000001</v>
      </c>
    </row>
    <row r="173" spans="2:24" x14ac:dyDescent="0.25">
      <c r="B173">
        <v>0.34694580000000003</v>
      </c>
      <c r="C173">
        <v>0.1263813</v>
      </c>
      <c r="D173">
        <f t="shared" si="59"/>
        <v>4.6946100000000046E-2</v>
      </c>
      <c r="F173">
        <v>4.6946100000000046E-2</v>
      </c>
      <c r="G173">
        <v>0.1263813</v>
      </c>
      <c r="K173" t="s">
        <v>47</v>
      </c>
      <c r="L173" t="s">
        <v>129</v>
      </c>
      <c r="M173" t="s">
        <v>44</v>
      </c>
      <c r="P173">
        <f t="shared" ref="P173" si="80">IF(MOD(ROW(),2)=0,"",F165)</f>
        <v>4.4723800000000036E-2</v>
      </c>
      <c r="R173">
        <v>81</v>
      </c>
      <c r="X173">
        <f>V190</f>
        <v>0.19594349999999999</v>
      </c>
    </row>
    <row r="174" spans="2:24" x14ac:dyDescent="0.25">
      <c r="B174">
        <v>0.34722360000000002</v>
      </c>
      <c r="C174">
        <v>7.3513490000000001E-2</v>
      </c>
      <c r="D174">
        <f t="shared" si="59"/>
        <v>4.7223900000000041E-2</v>
      </c>
      <c r="F174">
        <v>4.7223900000000041E-2</v>
      </c>
      <c r="G174">
        <v>7.3513490000000001E-2</v>
      </c>
      <c r="M174" t="s">
        <v>45</v>
      </c>
      <c r="N174" t="s">
        <v>282</v>
      </c>
      <c r="O174" t="s">
        <v>46</v>
      </c>
      <c r="P174" t="str">
        <f t="shared" si="64"/>
        <v/>
      </c>
      <c r="R174">
        <v>82</v>
      </c>
      <c r="S174">
        <v>2.2500800000000043E-2</v>
      </c>
      <c r="T174">
        <v>0.27619320000000003</v>
      </c>
      <c r="V174">
        <f>Tabela2[[#This Row],[mass-flow-rate]]/2</f>
        <v>0.13809660000000001</v>
      </c>
      <c r="X174">
        <f>V192</f>
        <v>0.19185315</v>
      </c>
    </row>
    <row r="175" spans="2:24" x14ac:dyDescent="0.25">
      <c r="B175">
        <v>0.34750140000000002</v>
      </c>
      <c r="C175">
        <v>2.4631E-2</v>
      </c>
      <c r="D175">
        <f t="shared" si="59"/>
        <v>4.7501700000000036E-2</v>
      </c>
      <c r="F175">
        <v>4.7501700000000036E-2</v>
      </c>
      <c r="G175">
        <v>2.4631E-2</v>
      </c>
      <c r="K175" t="s">
        <v>47</v>
      </c>
      <c r="L175" t="s">
        <v>130</v>
      </c>
      <c r="M175" t="s">
        <v>44</v>
      </c>
      <c r="P175">
        <f t="shared" ref="P175" si="81">IF(MOD(ROW(),2)=0,"",F166)</f>
        <v>4.500160000000003E-2</v>
      </c>
      <c r="R175">
        <v>82</v>
      </c>
      <c r="X175">
        <f>V194</f>
        <v>0.18154124999999999</v>
      </c>
    </row>
    <row r="176" spans="2:24" x14ac:dyDescent="0.25">
      <c r="B176">
        <v>0.34777920000000001</v>
      </c>
      <c r="C176">
        <v>-2.3870929999999999E-3</v>
      </c>
      <c r="D176">
        <f t="shared" si="59"/>
        <v>4.777950000000003E-2</v>
      </c>
      <c r="F176">
        <v>4.777950000000003E-2</v>
      </c>
      <c r="G176">
        <v>-2.3870929999999999E-3</v>
      </c>
      <c r="M176" t="s">
        <v>45</v>
      </c>
      <c r="N176" t="s">
        <v>283</v>
      </c>
      <c r="O176" t="s">
        <v>46</v>
      </c>
      <c r="P176" t="str">
        <f t="shared" si="64"/>
        <v/>
      </c>
      <c r="R176">
        <v>83</v>
      </c>
      <c r="S176">
        <v>2.2778600000000038E-2</v>
      </c>
      <c r="T176">
        <v>0.29878349999999998</v>
      </c>
      <c r="V176">
        <f>Tabela2[[#This Row],[mass-flow-rate]]/2</f>
        <v>0.14939174999999999</v>
      </c>
      <c r="X176">
        <f>V196</f>
        <v>0.16629155000000001</v>
      </c>
    </row>
    <row r="177" spans="2:24" x14ac:dyDescent="0.25">
      <c r="B177">
        <v>0.34805700000000001</v>
      </c>
      <c r="C177">
        <v>-3.4007780000000001E-3</v>
      </c>
      <c r="D177">
        <f t="shared" si="59"/>
        <v>4.8057300000000025E-2</v>
      </c>
      <c r="F177">
        <v>4.8057300000000025E-2</v>
      </c>
      <c r="G177">
        <v>-3.4007780000000001E-3</v>
      </c>
      <c r="K177" t="s">
        <v>47</v>
      </c>
      <c r="L177" t="s">
        <v>131</v>
      </c>
      <c r="M177" t="s">
        <v>44</v>
      </c>
      <c r="P177">
        <f t="shared" ref="P177" si="82">IF(MOD(ROW(),2)=0,"",F167)</f>
        <v>4.5279400000000025E-2</v>
      </c>
      <c r="R177">
        <v>83</v>
      </c>
      <c r="X177">
        <f>V198</f>
        <v>0.14751500000000001</v>
      </c>
    </row>
    <row r="178" spans="2:24" x14ac:dyDescent="0.25">
      <c r="B178">
        <v>0.3483348</v>
      </c>
      <c r="C178">
        <v>-2.814783E-3</v>
      </c>
      <c r="D178">
        <f t="shared" si="59"/>
        <v>4.833510000000002E-2</v>
      </c>
      <c r="F178">
        <v>4.833510000000002E-2</v>
      </c>
      <c r="G178">
        <v>-2.814783E-3</v>
      </c>
      <c r="M178" t="s">
        <v>45</v>
      </c>
      <c r="N178" t="s">
        <v>284</v>
      </c>
      <c r="O178" t="s">
        <v>46</v>
      </c>
      <c r="P178" t="str">
        <f t="shared" si="64"/>
        <v/>
      </c>
      <c r="R178">
        <v>84</v>
      </c>
      <c r="S178">
        <v>2.3056400000000032E-2</v>
      </c>
      <c r="T178">
        <v>0.32350519999999999</v>
      </c>
      <c r="V178">
        <f>Tabela2[[#This Row],[mass-flow-rate]]/2</f>
        <v>0.1617526</v>
      </c>
      <c r="X178">
        <f>V200</f>
        <v>0.1266497</v>
      </c>
    </row>
    <row r="179" spans="2:24" x14ac:dyDescent="0.25">
      <c r="B179">
        <v>0.34861249999999999</v>
      </c>
      <c r="C179">
        <v>-2.434093E-3</v>
      </c>
      <c r="D179">
        <f t="shared" si="59"/>
        <v>4.8612800000000012E-2</v>
      </c>
      <c r="F179">
        <v>4.8612800000000012E-2</v>
      </c>
      <c r="G179">
        <v>-2.434093E-3</v>
      </c>
      <c r="K179" t="s">
        <v>47</v>
      </c>
      <c r="L179" t="s">
        <v>132</v>
      </c>
      <c r="M179" t="s">
        <v>44</v>
      </c>
      <c r="P179">
        <f t="shared" ref="P179:P180" si="83">IF(MOD(ROW(),2)=0,"",F172)</f>
        <v>4.6668299999999996E-2</v>
      </c>
      <c r="R179">
        <v>84</v>
      </c>
      <c r="X179">
        <f>V202</f>
        <v>0.1051092</v>
      </c>
    </row>
    <row r="180" spans="2:24" x14ac:dyDescent="0.25">
      <c r="B180">
        <v>0.34889029999999999</v>
      </c>
      <c r="C180">
        <v>-2.3713720000000001E-3</v>
      </c>
      <c r="D180">
        <f t="shared" si="59"/>
        <v>4.8890600000000006E-2</v>
      </c>
      <c r="F180">
        <v>4.8890600000000006E-2</v>
      </c>
      <c r="G180">
        <v>-2.3713720000000001E-3</v>
      </c>
      <c r="M180" t="s">
        <v>45</v>
      </c>
      <c r="N180" t="s">
        <v>285</v>
      </c>
      <c r="O180" t="s">
        <v>46</v>
      </c>
      <c r="P180" t="str">
        <f t="shared" si="83"/>
        <v/>
      </c>
      <c r="R180">
        <v>85</v>
      </c>
      <c r="S180">
        <v>2.3334200000000027E-2</v>
      </c>
      <c r="T180">
        <v>0.3451187</v>
      </c>
      <c r="V180">
        <f>Tabela2[[#This Row],[mass-flow-rate]]/2</f>
        <v>0.17255935</v>
      </c>
      <c r="X180">
        <f>V192</f>
        <v>0.19185315</v>
      </c>
    </row>
    <row r="181" spans="2:24" x14ac:dyDescent="0.25">
      <c r="B181">
        <v>0.34916809999999998</v>
      </c>
      <c r="C181">
        <v>-1.6665149999999999E-3</v>
      </c>
      <c r="D181">
        <f t="shared" si="59"/>
        <v>4.9168400000000001E-2</v>
      </c>
      <c r="F181">
        <v>4.9168400000000001E-2</v>
      </c>
      <c r="G181">
        <v>-1.6665149999999999E-3</v>
      </c>
      <c r="K181" t="s">
        <v>47</v>
      </c>
      <c r="L181" t="s">
        <v>133</v>
      </c>
      <c r="M181" t="s">
        <v>44</v>
      </c>
      <c r="P181">
        <f t="shared" ref="P181" si="84">IF(MOD(ROW(),2)=0,"",F173)</f>
        <v>4.6946100000000046E-2</v>
      </c>
      <c r="R181">
        <v>85</v>
      </c>
      <c r="X181">
        <f>V194</f>
        <v>0.18154124999999999</v>
      </c>
    </row>
    <row r="182" spans="2:24" x14ac:dyDescent="0.25">
      <c r="B182">
        <v>0.34944589999999998</v>
      </c>
      <c r="C182">
        <v>2.1218149999999999E-4</v>
      </c>
      <c r="D182">
        <f t="shared" si="59"/>
        <v>4.9446199999999996E-2</v>
      </c>
      <c r="F182">
        <v>4.9446199999999996E-2</v>
      </c>
      <c r="G182">
        <v>2.1218149999999999E-4</v>
      </c>
      <c r="M182" t="s">
        <v>45</v>
      </c>
      <c r="N182" t="s">
        <v>286</v>
      </c>
      <c r="O182" t="s">
        <v>46</v>
      </c>
      <c r="P182" t="str">
        <f t="shared" si="64"/>
        <v/>
      </c>
      <c r="R182">
        <v>86</v>
      </c>
      <c r="S182">
        <v>2.3612000000000022E-2</v>
      </c>
      <c r="T182">
        <v>0.3592146</v>
      </c>
      <c r="V182">
        <f>Tabela2[[#This Row],[mass-flow-rate]]/2</f>
        <v>0.1796073</v>
      </c>
      <c r="X182">
        <f>V196</f>
        <v>0.16629155000000001</v>
      </c>
    </row>
    <row r="183" spans="2:24" x14ac:dyDescent="0.25">
      <c r="B183">
        <v>0.34972370000000003</v>
      </c>
      <c r="C183">
        <v>1.269271E-3</v>
      </c>
      <c r="D183">
        <f t="shared" si="59"/>
        <v>4.9724000000000046E-2</v>
      </c>
      <c r="F183">
        <v>4.9724000000000046E-2</v>
      </c>
      <c r="G183">
        <v>1.269271E-3</v>
      </c>
      <c r="K183" t="s">
        <v>47</v>
      </c>
      <c r="L183" t="s">
        <v>134</v>
      </c>
      <c r="M183" t="s">
        <v>44</v>
      </c>
      <c r="P183">
        <f t="shared" ref="P183" si="85">IF(MOD(ROW(),2)=0,"",F174)</f>
        <v>4.7223900000000041E-2</v>
      </c>
      <c r="R183">
        <v>86</v>
      </c>
      <c r="X183">
        <f>V198</f>
        <v>0.14751500000000001</v>
      </c>
    </row>
    <row r="184" spans="2:24" x14ac:dyDescent="0.25">
      <c r="B184">
        <v>0.35000150000000002</v>
      </c>
      <c r="C184">
        <v>1.3516100000000001E-3</v>
      </c>
      <c r="D184">
        <f t="shared" si="59"/>
        <v>5.0001800000000041E-2</v>
      </c>
      <c r="F184">
        <v>5.0001800000000041E-2</v>
      </c>
      <c r="G184">
        <v>1.3516100000000001E-3</v>
      </c>
      <c r="M184" t="s">
        <v>45</v>
      </c>
      <c r="N184" t="s">
        <v>287</v>
      </c>
      <c r="O184" t="s">
        <v>46</v>
      </c>
      <c r="P184" t="str">
        <f t="shared" si="64"/>
        <v/>
      </c>
      <c r="R184">
        <v>87</v>
      </c>
      <c r="S184">
        <v>2.3889800000000017E-2</v>
      </c>
      <c r="T184">
        <v>0.37237920000000002</v>
      </c>
      <c r="V184">
        <f>Tabela2[[#This Row],[mass-flow-rate]]/2</f>
        <v>0.18618960000000001</v>
      </c>
      <c r="X184">
        <f>V200</f>
        <v>0.1266497</v>
      </c>
    </row>
    <row r="185" spans="2:24" x14ac:dyDescent="0.25">
      <c r="B185">
        <v>0.35027930000000002</v>
      </c>
      <c r="C185">
        <v>1.013199E-3</v>
      </c>
      <c r="D185">
        <f t="shared" si="59"/>
        <v>5.0279600000000035E-2</v>
      </c>
      <c r="F185">
        <v>5.0279600000000035E-2</v>
      </c>
      <c r="G185">
        <v>1.013199E-3</v>
      </c>
      <c r="K185" t="s">
        <v>47</v>
      </c>
      <c r="L185" t="s">
        <v>135</v>
      </c>
      <c r="M185" t="s">
        <v>44</v>
      </c>
      <c r="P185">
        <f t="shared" ref="P185" si="86">IF(MOD(ROW(),2)=0,"",F175)</f>
        <v>4.7501700000000036E-2</v>
      </c>
      <c r="R185">
        <v>87</v>
      </c>
      <c r="X185">
        <f>V202</f>
        <v>0.1051092</v>
      </c>
    </row>
    <row r="186" spans="2:24" x14ac:dyDescent="0.25">
      <c r="B186">
        <v>0.35055710000000001</v>
      </c>
      <c r="C186">
        <v>7.4146900000000003E-4</v>
      </c>
      <c r="D186">
        <f t="shared" si="59"/>
        <v>5.055740000000003E-2</v>
      </c>
      <c r="F186">
        <v>5.055740000000003E-2</v>
      </c>
      <c r="G186">
        <v>7.4146900000000003E-4</v>
      </c>
      <c r="M186" t="s">
        <v>45</v>
      </c>
      <c r="N186" t="s">
        <v>288</v>
      </c>
      <c r="O186" t="s">
        <v>46</v>
      </c>
      <c r="P186" t="str">
        <f t="shared" si="64"/>
        <v/>
      </c>
      <c r="R186">
        <v>88</v>
      </c>
      <c r="S186">
        <v>2.4167600000000011E-2</v>
      </c>
      <c r="T186">
        <v>0.38524029999999998</v>
      </c>
      <c r="V186">
        <f>Tabela2[[#This Row],[mass-flow-rate]]/2</f>
        <v>0.19262014999999999</v>
      </c>
      <c r="X186">
        <f>V204</f>
        <v>8.6186650000000004E-2</v>
      </c>
    </row>
    <row r="187" spans="2:24" x14ac:dyDescent="0.25">
      <c r="B187">
        <v>0.3508348</v>
      </c>
      <c r="C187">
        <v>5.7581139999999999E-4</v>
      </c>
      <c r="D187">
        <f t="shared" si="59"/>
        <v>5.0835100000000022E-2</v>
      </c>
      <c r="F187">
        <v>5.0835100000000022E-2</v>
      </c>
      <c r="G187">
        <v>5.7581139999999999E-4</v>
      </c>
      <c r="K187" t="s">
        <v>47</v>
      </c>
      <c r="L187" t="s">
        <v>136</v>
      </c>
      <c r="M187" t="s">
        <v>44</v>
      </c>
      <c r="P187">
        <f t="shared" ref="P187:P188" si="87">IF(MOD(ROW(),2)=0,"",F180)</f>
        <v>4.8890600000000006E-2</v>
      </c>
      <c r="R187">
        <v>88</v>
      </c>
      <c r="X187">
        <f>V206</f>
        <v>6.3563999999999996E-2</v>
      </c>
    </row>
    <row r="188" spans="2:24" x14ac:dyDescent="0.25">
      <c r="B188">
        <v>0.3511126</v>
      </c>
      <c r="C188">
        <v>4.6373390000000001E-4</v>
      </c>
      <c r="D188">
        <f t="shared" si="59"/>
        <v>5.1112900000000017E-2</v>
      </c>
      <c r="F188">
        <v>5.1112900000000017E-2</v>
      </c>
      <c r="G188">
        <v>4.6373390000000001E-4</v>
      </c>
      <c r="M188" t="s">
        <v>45</v>
      </c>
      <c r="N188" t="s">
        <v>289</v>
      </c>
      <c r="O188" t="s">
        <v>46</v>
      </c>
      <c r="P188" t="str">
        <f t="shared" si="87"/>
        <v/>
      </c>
      <c r="R188">
        <v>89</v>
      </c>
      <c r="S188">
        <v>2.4445300000000003E-2</v>
      </c>
      <c r="T188">
        <v>0.39349630000000002</v>
      </c>
      <c r="V188">
        <f>Tabela2[[#This Row],[mass-flow-rate]]/2</f>
        <v>0.19674815000000001</v>
      </c>
      <c r="X188">
        <f>V208</f>
        <v>3.6946674999999998E-2</v>
      </c>
    </row>
    <row r="189" spans="2:24" x14ac:dyDescent="0.25">
      <c r="B189">
        <v>0.35139039999999999</v>
      </c>
      <c r="C189">
        <v>3.3843110000000002E-4</v>
      </c>
      <c r="D189">
        <f t="shared" si="59"/>
        <v>5.1390700000000011E-2</v>
      </c>
      <c r="F189">
        <v>5.1390700000000011E-2</v>
      </c>
      <c r="G189">
        <v>3.3843110000000002E-4</v>
      </c>
      <c r="K189" t="s">
        <v>47</v>
      </c>
      <c r="L189" t="s">
        <v>137</v>
      </c>
      <c r="M189" t="s">
        <v>44</v>
      </c>
      <c r="P189">
        <f t="shared" ref="P189" si="88">IF(MOD(ROW(),2)=0,"",F181)</f>
        <v>4.9168400000000001E-2</v>
      </c>
      <c r="R189">
        <v>89</v>
      </c>
      <c r="X189">
        <f>V210</f>
        <v>1.2322585E-2</v>
      </c>
    </row>
    <row r="190" spans="2:24" x14ac:dyDescent="0.25">
      <c r="B190">
        <v>0.35166819999999999</v>
      </c>
      <c r="C190">
        <v>2.3407380000000001E-4</v>
      </c>
      <c r="D190">
        <f t="shared" si="59"/>
        <v>5.1668500000000006E-2</v>
      </c>
      <c r="F190">
        <v>5.1668500000000006E-2</v>
      </c>
      <c r="G190">
        <v>2.3407380000000001E-4</v>
      </c>
      <c r="M190" t="s">
        <v>45</v>
      </c>
      <c r="N190" t="s">
        <v>290</v>
      </c>
      <c r="O190" t="s">
        <v>46</v>
      </c>
      <c r="P190" t="str">
        <f t="shared" si="64"/>
        <v/>
      </c>
      <c r="R190">
        <v>90</v>
      </c>
      <c r="S190">
        <v>2.4723099999999998E-2</v>
      </c>
      <c r="T190">
        <v>0.39188699999999999</v>
      </c>
      <c r="V190">
        <f>Tabela2[[#This Row],[mass-flow-rate]]/2</f>
        <v>0.19594349999999999</v>
      </c>
      <c r="X190">
        <f>V212</f>
        <v>-1.239827E-3</v>
      </c>
    </row>
    <row r="191" spans="2:24" x14ac:dyDescent="0.25">
      <c r="B191">
        <v>0.35194599999999998</v>
      </c>
      <c r="C191">
        <v>1.7284010000000001E-4</v>
      </c>
      <c r="D191">
        <f t="shared" si="59"/>
        <v>5.1946300000000001E-2</v>
      </c>
      <c r="F191">
        <v>5.1946300000000001E-2</v>
      </c>
      <c r="G191">
        <v>1.7284010000000001E-4</v>
      </c>
      <c r="K191" t="s">
        <v>47</v>
      </c>
      <c r="L191" t="s">
        <v>138</v>
      </c>
      <c r="M191" t="s">
        <v>44</v>
      </c>
      <c r="P191">
        <f t="shared" ref="P191" si="89">IF(MOD(ROW(),2)=0,"",F182)</f>
        <v>4.9446199999999996E-2</v>
      </c>
      <c r="R191">
        <v>90</v>
      </c>
      <c r="X191">
        <f>V214</f>
        <v>-1.7283915000000001E-3</v>
      </c>
    </row>
    <row r="192" spans="2:24" x14ac:dyDescent="0.25">
      <c r="B192">
        <v>0.35222379999999998</v>
      </c>
      <c r="C192">
        <v>3.2249900000000002E-4</v>
      </c>
      <c r="D192">
        <f t="shared" si="59"/>
        <v>5.2224099999999996E-2</v>
      </c>
      <c r="F192">
        <v>5.2224099999999996E-2</v>
      </c>
      <c r="G192">
        <v>3.2249900000000002E-4</v>
      </c>
      <c r="M192" t="s">
        <v>45</v>
      </c>
      <c r="N192" t="s">
        <v>291</v>
      </c>
      <c r="O192" t="s">
        <v>46</v>
      </c>
      <c r="P192" t="str">
        <f t="shared" si="64"/>
        <v/>
      </c>
      <c r="R192">
        <v>91</v>
      </c>
      <c r="S192">
        <v>2.5000899999999993E-2</v>
      </c>
      <c r="T192">
        <v>0.3837063</v>
      </c>
      <c r="V192">
        <f>Tabela2[[#This Row],[mass-flow-rate]]/2</f>
        <v>0.19185315</v>
      </c>
      <c r="X192">
        <f>V204</f>
        <v>8.6186650000000004E-2</v>
      </c>
    </row>
    <row r="193" spans="2:24" x14ac:dyDescent="0.25">
      <c r="B193">
        <v>0.35250160000000003</v>
      </c>
      <c r="C193">
        <v>8.0147919999999997E-4</v>
      </c>
      <c r="D193">
        <f t="shared" si="59"/>
        <v>5.2501900000000046E-2</v>
      </c>
      <c r="F193">
        <v>5.2501900000000046E-2</v>
      </c>
      <c r="G193">
        <v>8.0147919999999997E-4</v>
      </c>
      <c r="K193" t="s">
        <v>47</v>
      </c>
      <c r="L193" t="s">
        <v>139</v>
      </c>
      <c r="M193" t="s">
        <v>44</v>
      </c>
      <c r="P193">
        <f t="shared" ref="P193" si="90">IF(MOD(ROW(),2)=0,"",F183)</f>
        <v>4.9724000000000046E-2</v>
      </c>
      <c r="R193">
        <v>91</v>
      </c>
      <c r="X193">
        <f>V206</f>
        <v>6.3563999999999996E-2</v>
      </c>
    </row>
    <row r="194" spans="2:24" x14ac:dyDescent="0.25">
      <c r="B194">
        <v>0.35277940000000002</v>
      </c>
      <c r="C194">
        <v>1.7321369999999999E-3</v>
      </c>
      <c r="D194">
        <f t="shared" si="59"/>
        <v>5.277970000000004E-2</v>
      </c>
      <c r="F194">
        <v>5.277970000000004E-2</v>
      </c>
      <c r="G194">
        <v>1.7321369999999999E-3</v>
      </c>
      <c r="M194" t="s">
        <v>45</v>
      </c>
      <c r="N194" t="s">
        <v>292</v>
      </c>
      <c r="O194" t="s">
        <v>46</v>
      </c>
      <c r="P194" t="str">
        <f t="shared" si="64"/>
        <v/>
      </c>
      <c r="R194">
        <v>92</v>
      </c>
      <c r="S194">
        <v>2.5278700000000043E-2</v>
      </c>
      <c r="T194">
        <v>0.36308249999999997</v>
      </c>
      <c r="V194">
        <f>Tabela2[[#This Row],[mass-flow-rate]]/2</f>
        <v>0.18154124999999999</v>
      </c>
      <c r="X194">
        <f>V208</f>
        <v>3.6946674999999998E-2</v>
      </c>
    </row>
    <row r="195" spans="2:24" x14ac:dyDescent="0.25">
      <c r="B195">
        <v>0.35305710000000001</v>
      </c>
      <c r="C195">
        <v>2.1801839999999999E-3</v>
      </c>
      <c r="D195">
        <f t="shared" si="59"/>
        <v>5.3057400000000032E-2</v>
      </c>
      <c r="F195">
        <v>5.3057400000000032E-2</v>
      </c>
      <c r="G195">
        <v>2.1801839999999999E-3</v>
      </c>
      <c r="K195" t="s">
        <v>47</v>
      </c>
      <c r="L195" t="s">
        <v>140</v>
      </c>
      <c r="M195" t="s">
        <v>44</v>
      </c>
      <c r="P195">
        <f t="shared" ref="P195:P196" si="91">IF(MOD(ROW(),2)=0,"",F188)</f>
        <v>5.1112900000000017E-2</v>
      </c>
      <c r="R195">
        <v>92</v>
      </c>
      <c r="X195">
        <f>V210</f>
        <v>1.2322585E-2</v>
      </c>
    </row>
    <row r="196" spans="2:24" x14ac:dyDescent="0.25">
      <c r="B196">
        <v>0.35333490000000001</v>
      </c>
      <c r="C196">
        <v>2.0203410000000002E-3</v>
      </c>
      <c r="D196">
        <f t="shared" si="59"/>
        <v>5.3335200000000027E-2</v>
      </c>
      <c r="F196">
        <v>5.3335200000000027E-2</v>
      </c>
      <c r="G196">
        <v>2.0203410000000002E-3</v>
      </c>
      <c r="M196" t="s">
        <v>45</v>
      </c>
      <c r="N196" t="s">
        <v>293</v>
      </c>
      <c r="O196" t="s">
        <v>46</v>
      </c>
      <c r="P196" t="str">
        <f t="shared" si="91"/>
        <v/>
      </c>
      <c r="R196">
        <v>93</v>
      </c>
      <c r="S196">
        <v>2.5556500000000038E-2</v>
      </c>
      <c r="T196">
        <v>0.33258310000000002</v>
      </c>
      <c r="V196">
        <f>Tabela2[[#This Row],[mass-flow-rate]]/2</f>
        <v>0.16629155000000001</v>
      </c>
      <c r="X196">
        <f>V212</f>
        <v>-1.239827E-3</v>
      </c>
    </row>
    <row r="197" spans="2:24" x14ac:dyDescent="0.25">
      <c r="B197">
        <v>0.3536127</v>
      </c>
      <c r="C197">
        <v>1.6218820000000001E-3</v>
      </c>
      <c r="D197">
        <f t="shared" ref="D197:D198" si="92">B197-$B$4</f>
        <v>5.3613000000000022E-2</v>
      </c>
      <c r="F197">
        <v>5.3613000000000022E-2</v>
      </c>
      <c r="G197">
        <v>1.6218820000000001E-3</v>
      </c>
      <c r="K197" t="s">
        <v>47</v>
      </c>
      <c r="L197" t="s">
        <v>141</v>
      </c>
      <c r="M197" t="s">
        <v>44</v>
      </c>
      <c r="P197">
        <f t="shared" ref="P197" si="93">IF(MOD(ROW(),2)=0,"",F189)</f>
        <v>5.1390700000000011E-2</v>
      </c>
      <c r="R197">
        <v>93</v>
      </c>
      <c r="X197">
        <f>V214</f>
        <v>-1.7283915000000001E-3</v>
      </c>
    </row>
    <row r="198" spans="2:24" x14ac:dyDescent="0.25">
      <c r="B198">
        <v>0.3538905</v>
      </c>
      <c r="C198">
        <v>1.105838E-3</v>
      </c>
      <c r="D198">
        <f t="shared" si="92"/>
        <v>5.3890800000000016E-2</v>
      </c>
      <c r="F198">
        <v>5.3890800000000016E-2</v>
      </c>
      <c r="G198">
        <v>1.105838E-3</v>
      </c>
      <c r="M198" t="s">
        <v>45</v>
      </c>
      <c r="N198" t="s">
        <v>294</v>
      </c>
      <c r="O198" t="s">
        <v>46</v>
      </c>
      <c r="P198" t="str">
        <f t="shared" si="64"/>
        <v/>
      </c>
      <c r="R198">
        <v>94</v>
      </c>
      <c r="S198">
        <v>2.5834300000000032E-2</v>
      </c>
      <c r="T198">
        <v>0.29503000000000001</v>
      </c>
      <c r="V198">
        <f>Tabela2[[#This Row],[mass-flow-rate]]/2</f>
        <v>0.14751500000000001</v>
      </c>
      <c r="X198">
        <f>V216</f>
        <v>-1.3695389999999999E-3</v>
      </c>
    </row>
    <row r="199" spans="2:24" x14ac:dyDescent="0.25">
      <c r="K199" t="s">
        <v>47</v>
      </c>
      <c r="L199" t="s">
        <v>142</v>
      </c>
      <c r="M199" t="s">
        <v>44</v>
      </c>
      <c r="P199">
        <f t="shared" ref="P199" si="94">IF(MOD(ROW(),2)=0,"",F190)</f>
        <v>5.1668500000000006E-2</v>
      </c>
      <c r="R199">
        <v>94</v>
      </c>
      <c r="X199">
        <f>V218</f>
        <v>-1.0745424999999999E-3</v>
      </c>
    </row>
    <row r="200" spans="2:24" x14ac:dyDescent="0.25">
      <c r="M200" t="s">
        <v>45</v>
      </c>
      <c r="N200" t="s">
        <v>295</v>
      </c>
      <c r="O200" t="s">
        <v>46</v>
      </c>
      <c r="P200" t="str">
        <f t="shared" si="64"/>
        <v/>
      </c>
      <c r="R200">
        <v>95</v>
      </c>
      <c r="S200">
        <v>2.6112100000000027E-2</v>
      </c>
      <c r="T200">
        <v>0.25329940000000001</v>
      </c>
      <c r="V200">
        <f>Tabela2[[#This Row],[mass-flow-rate]]/2</f>
        <v>0.1266497</v>
      </c>
      <c r="X200">
        <f>V220</f>
        <v>-9.9238400000000002E-4</v>
      </c>
    </row>
    <row r="201" spans="2:24" x14ac:dyDescent="0.25">
      <c r="K201" t="s">
        <v>47</v>
      </c>
      <c r="L201" t="s">
        <v>143</v>
      </c>
      <c r="M201" t="s">
        <v>44</v>
      </c>
      <c r="P201">
        <f t="shared" ref="P201" si="95">IF(MOD(ROW(),2)=0,"",F191)</f>
        <v>5.1946300000000001E-2</v>
      </c>
      <c r="R201">
        <v>95</v>
      </c>
      <c r="X201">
        <f>V222</f>
        <v>-7.8978100000000003E-4</v>
      </c>
    </row>
    <row r="202" spans="2:24" x14ac:dyDescent="0.25">
      <c r="M202" t="s">
        <v>45</v>
      </c>
      <c r="N202" t="s">
        <v>296</v>
      </c>
      <c r="O202" t="s">
        <v>46</v>
      </c>
      <c r="P202" t="str">
        <f t="shared" si="64"/>
        <v/>
      </c>
      <c r="R202">
        <v>96</v>
      </c>
      <c r="S202">
        <v>2.6389900000000022E-2</v>
      </c>
      <c r="T202">
        <v>0.2102184</v>
      </c>
      <c r="V202">
        <f>Tabela2[[#This Row],[mass-flow-rate]]/2</f>
        <v>0.1051092</v>
      </c>
      <c r="X202">
        <f>V224</f>
        <v>-6.248785E-6</v>
      </c>
    </row>
    <row r="203" spans="2:24" x14ac:dyDescent="0.25">
      <c r="K203" t="s">
        <v>47</v>
      </c>
      <c r="L203" t="s">
        <v>144</v>
      </c>
      <c r="M203" t="s">
        <v>44</v>
      </c>
      <c r="P203">
        <f t="shared" ref="P203:P204" si="96">IF(MOD(ROW(),2)=0,"",F196)</f>
        <v>5.3335200000000027E-2</v>
      </c>
      <c r="R203">
        <v>96</v>
      </c>
      <c r="X203">
        <f>V226</f>
        <v>4.5798520000000001E-4</v>
      </c>
    </row>
    <row r="204" spans="2:24" x14ac:dyDescent="0.25">
      <c r="M204" t="s">
        <v>45</v>
      </c>
      <c r="N204" t="s">
        <v>297</v>
      </c>
      <c r="O204" t="s">
        <v>46</v>
      </c>
      <c r="P204" t="str">
        <f t="shared" si="96"/>
        <v/>
      </c>
      <c r="R204">
        <v>97</v>
      </c>
      <c r="S204">
        <v>2.6667600000000014E-2</v>
      </c>
      <c r="T204">
        <v>0.17237330000000001</v>
      </c>
      <c r="V204">
        <f>Tabela2[[#This Row],[mass-flow-rate]]/2</f>
        <v>8.6186650000000004E-2</v>
      </c>
      <c r="X204">
        <f>V216</f>
        <v>-1.3695389999999999E-3</v>
      </c>
    </row>
    <row r="205" spans="2:24" x14ac:dyDescent="0.25">
      <c r="K205" t="s">
        <v>47</v>
      </c>
      <c r="L205" t="s">
        <v>145</v>
      </c>
      <c r="M205" t="s">
        <v>44</v>
      </c>
      <c r="P205">
        <f t="shared" ref="P205:P208" si="97">IF(MOD(ROW(),2)=0,"",F197)</f>
        <v>5.3613000000000022E-2</v>
      </c>
      <c r="R205">
        <v>97</v>
      </c>
      <c r="X205">
        <f>V218</f>
        <v>-1.0745424999999999E-3</v>
      </c>
    </row>
    <row r="206" spans="2:24" x14ac:dyDescent="0.25">
      <c r="M206" t="s">
        <v>45</v>
      </c>
      <c r="N206" t="s">
        <v>298</v>
      </c>
      <c r="O206" t="s">
        <v>46</v>
      </c>
      <c r="P206" t="str">
        <f t="shared" si="97"/>
        <v/>
      </c>
      <c r="R206">
        <v>98</v>
      </c>
      <c r="S206">
        <v>2.6945400000000008E-2</v>
      </c>
      <c r="T206">
        <v>0.12712799999999999</v>
      </c>
      <c r="V206">
        <f>Tabela2[[#This Row],[mass-flow-rate]]/2</f>
        <v>6.3563999999999996E-2</v>
      </c>
      <c r="X206">
        <f>V220</f>
        <v>-9.9238400000000002E-4</v>
      </c>
    </row>
    <row r="207" spans="2:24" x14ac:dyDescent="0.25">
      <c r="K207" t="s">
        <v>47</v>
      </c>
      <c r="L207" t="s">
        <v>146</v>
      </c>
      <c r="M207" t="s">
        <v>44</v>
      </c>
      <c r="P207">
        <f t="shared" ref="P207" si="98">IF(MOD(ROW(),2)=0,"",F198)</f>
        <v>5.3890800000000016E-2</v>
      </c>
      <c r="R207">
        <v>98</v>
      </c>
      <c r="X207">
        <f>V222</f>
        <v>-7.8978100000000003E-4</v>
      </c>
    </row>
    <row r="208" spans="2:24" x14ac:dyDescent="0.25">
      <c r="M208" t="s">
        <v>45</v>
      </c>
      <c r="N208" t="s">
        <v>299</v>
      </c>
      <c r="O208" t="s">
        <v>46</v>
      </c>
      <c r="P208" t="str">
        <f t="shared" si="97"/>
        <v/>
      </c>
      <c r="R208">
        <v>99</v>
      </c>
      <c r="S208">
        <v>2.7223200000000003E-2</v>
      </c>
      <c r="T208">
        <v>7.3893349999999997E-2</v>
      </c>
      <c r="V208">
        <f>Tabela2[[#This Row],[mass-flow-rate]]/2</f>
        <v>3.6946674999999998E-2</v>
      </c>
      <c r="X208">
        <f>V224</f>
        <v>-6.248785E-6</v>
      </c>
    </row>
    <row r="209" spans="11:24" x14ac:dyDescent="0.25">
      <c r="K209" t="s">
        <v>47</v>
      </c>
      <c r="L209" t="s">
        <v>147</v>
      </c>
      <c r="M209" t="s">
        <v>44</v>
      </c>
      <c r="P209">
        <f t="shared" ref="P209" si="99">IF(MOD(ROW(),2)=0,"",F199)</f>
        <v>0</v>
      </c>
      <c r="R209">
        <v>99</v>
      </c>
      <c r="X209">
        <f>V226</f>
        <v>4.5798520000000001E-4</v>
      </c>
    </row>
    <row r="210" spans="11:24" x14ac:dyDescent="0.25">
      <c r="M210" t="s">
        <v>45</v>
      </c>
      <c r="N210" t="s">
        <v>300</v>
      </c>
      <c r="O210" t="s">
        <v>46</v>
      </c>
      <c r="R210">
        <v>100</v>
      </c>
      <c r="S210">
        <v>2.7500999999999998E-2</v>
      </c>
      <c r="T210">
        <v>2.4645170000000001E-2</v>
      </c>
      <c r="V210">
        <f>Tabela2[[#This Row],[mass-flow-rate]]/2</f>
        <v>1.2322585E-2</v>
      </c>
      <c r="X210">
        <f>V228</f>
        <v>5.3091499999999997E-4</v>
      </c>
    </row>
    <row r="211" spans="11:24" x14ac:dyDescent="0.25">
      <c r="K211" t="s">
        <v>47</v>
      </c>
      <c r="L211" t="s">
        <v>148</v>
      </c>
      <c r="M211" t="s">
        <v>44</v>
      </c>
      <c r="R211">
        <v>100</v>
      </c>
      <c r="X211">
        <f>V230</f>
        <v>4.3672410000000002E-4</v>
      </c>
    </row>
    <row r="212" spans="11:24" x14ac:dyDescent="0.25">
      <c r="M212" t="s">
        <v>45</v>
      </c>
      <c r="N212" t="s">
        <v>242</v>
      </c>
      <c r="O212" t="s">
        <v>46</v>
      </c>
      <c r="R212">
        <v>101</v>
      </c>
      <c r="S212">
        <v>2.7778799999999992E-2</v>
      </c>
      <c r="T212">
        <v>-2.479654E-3</v>
      </c>
      <c r="V212">
        <f>Tabela2[[#This Row],[mass-flow-rate]]/2</f>
        <v>-1.239827E-3</v>
      </c>
      <c r="X212">
        <f>V232</f>
        <v>3.3039935E-4</v>
      </c>
    </row>
    <row r="213" spans="11:24" x14ac:dyDescent="0.25">
      <c r="K213" t="s">
        <v>47</v>
      </c>
      <c r="L213" t="s">
        <v>149</v>
      </c>
      <c r="M213" t="s">
        <v>44</v>
      </c>
      <c r="R213">
        <v>101</v>
      </c>
      <c r="X213">
        <f>V234</f>
        <v>2.5849555E-4</v>
      </c>
    </row>
    <row r="214" spans="11:24" x14ac:dyDescent="0.25">
      <c r="M214" t="s">
        <v>45</v>
      </c>
      <c r="N214" t="s">
        <v>242</v>
      </c>
      <c r="O214" t="s">
        <v>46</v>
      </c>
      <c r="R214">
        <v>102</v>
      </c>
      <c r="S214">
        <v>2.8056600000000043E-2</v>
      </c>
      <c r="T214">
        <v>-3.4567830000000002E-3</v>
      </c>
      <c r="V214">
        <f>Tabela2[[#This Row],[mass-flow-rate]]/2</f>
        <v>-1.7283915000000001E-3</v>
      </c>
      <c r="X214">
        <f>V236</f>
        <v>2.1584600000000001E-4</v>
      </c>
    </row>
    <row r="215" spans="11:24" x14ac:dyDescent="0.25">
      <c r="K215" t="s">
        <v>47</v>
      </c>
      <c r="L215" t="s">
        <v>150</v>
      </c>
      <c r="M215" t="s">
        <v>44</v>
      </c>
      <c r="R215">
        <v>102</v>
      </c>
      <c r="X215">
        <f>V238</f>
        <v>1.783078E-4</v>
      </c>
    </row>
    <row r="216" spans="11:24" x14ac:dyDescent="0.25">
      <c r="M216" t="s">
        <v>45</v>
      </c>
      <c r="N216" t="s">
        <v>242</v>
      </c>
      <c r="O216" t="s">
        <v>46</v>
      </c>
      <c r="R216">
        <v>103</v>
      </c>
      <c r="S216">
        <v>2.8334400000000037E-2</v>
      </c>
      <c r="T216">
        <v>-2.7390779999999998E-3</v>
      </c>
      <c r="V216">
        <f>Tabela2[[#This Row],[mass-flow-rate]]/2</f>
        <v>-1.3695389999999999E-3</v>
      </c>
      <c r="X216">
        <f>V228</f>
        <v>5.3091499999999997E-4</v>
      </c>
    </row>
    <row r="217" spans="11:24" x14ac:dyDescent="0.25">
      <c r="K217" t="s">
        <v>47</v>
      </c>
      <c r="L217" t="s">
        <v>151</v>
      </c>
      <c r="M217" t="s">
        <v>44</v>
      </c>
      <c r="R217">
        <v>103</v>
      </c>
      <c r="X217">
        <f>V230</f>
        <v>4.3672410000000002E-4</v>
      </c>
    </row>
    <row r="218" spans="11:24" x14ac:dyDescent="0.25">
      <c r="M218" t="s">
        <v>45</v>
      </c>
      <c r="N218" t="s">
        <v>242</v>
      </c>
      <c r="O218" t="s">
        <v>46</v>
      </c>
      <c r="R218">
        <v>104</v>
      </c>
      <c r="S218">
        <v>2.8612200000000032E-2</v>
      </c>
      <c r="T218">
        <v>-2.1490849999999998E-3</v>
      </c>
      <c r="V218">
        <f>Tabela2[[#This Row],[mass-flow-rate]]/2</f>
        <v>-1.0745424999999999E-3</v>
      </c>
      <c r="X218">
        <f>V232</f>
        <v>3.3039935E-4</v>
      </c>
    </row>
    <row r="219" spans="11:24" x14ac:dyDescent="0.25">
      <c r="K219" t="s">
        <v>47</v>
      </c>
      <c r="L219" t="s">
        <v>152</v>
      </c>
      <c r="M219" t="s">
        <v>44</v>
      </c>
      <c r="R219">
        <v>104</v>
      </c>
      <c r="X219">
        <f>V234</f>
        <v>2.5849555E-4</v>
      </c>
    </row>
    <row r="220" spans="11:24" x14ac:dyDescent="0.25">
      <c r="M220" t="s">
        <v>45</v>
      </c>
      <c r="N220" t="s">
        <v>242</v>
      </c>
      <c r="O220" t="s">
        <v>46</v>
      </c>
      <c r="R220">
        <v>105</v>
      </c>
      <c r="S220">
        <v>2.8889900000000024E-2</v>
      </c>
      <c r="T220">
        <v>-1.984768E-3</v>
      </c>
      <c r="V220">
        <f>Tabela2[[#This Row],[mass-flow-rate]]/2</f>
        <v>-9.9238400000000002E-4</v>
      </c>
      <c r="X220">
        <f>V236</f>
        <v>2.1584600000000001E-4</v>
      </c>
    </row>
    <row r="221" spans="11:24" x14ac:dyDescent="0.25">
      <c r="K221" t="s">
        <v>47</v>
      </c>
      <c r="L221" t="s">
        <v>153</v>
      </c>
      <c r="M221" t="s">
        <v>44</v>
      </c>
      <c r="R221">
        <v>105</v>
      </c>
      <c r="X221">
        <f>V238</f>
        <v>1.783078E-4</v>
      </c>
    </row>
    <row r="222" spans="11:24" x14ac:dyDescent="0.25">
      <c r="M222" t="s">
        <v>45</v>
      </c>
      <c r="N222" t="s">
        <v>242</v>
      </c>
      <c r="O222" t="s">
        <v>46</v>
      </c>
      <c r="R222">
        <v>106</v>
      </c>
      <c r="S222">
        <v>2.9167700000000019E-2</v>
      </c>
      <c r="T222">
        <v>-1.5795620000000001E-3</v>
      </c>
      <c r="V222">
        <f>Tabela2[[#This Row],[mass-flow-rate]]/2</f>
        <v>-7.8978100000000003E-4</v>
      </c>
      <c r="X222">
        <f>V240</f>
        <v>1.6457624999999999E-4</v>
      </c>
    </row>
    <row r="223" spans="11:24" x14ac:dyDescent="0.25">
      <c r="K223" t="s">
        <v>47</v>
      </c>
      <c r="L223" t="s">
        <v>154</v>
      </c>
      <c r="M223" t="s">
        <v>44</v>
      </c>
      <c r="R223">
        <v>106</v>
      </c>
      <c r="X223">
        <f>V242</f>
        <v>2.1638785000000001E-4</v>
      </c>
    </row>
    <row r="224" spans="11:24" x14ac:dyDescent="0.25">
      <c r="M224" t="s">
        <v>45</v>
      </c>
      <c r="N224" t="s">
        <v>242</v>
      </c>
      <c r="O224" t="s">
        <v>46</v>
      </c>
      <c r="R224">
        <v>107</v>
      </c>
      <c r="S224">
        <v>2.9445500000000013E-2</v>
      </c>
      <c r="T224">
        <v>-1.249757E-5</v>
      </c>
      <c r="V224">
        <f>Tabela2[[#This Row],[mass-flow-rate]]/2</f>
        <v>-6.248785E-6</v>
      </c>
      <c r="X224">
        <f>V244</f>
        <v>3.7487955000000002E-4</v>
      </c>
    </row>
    <row r="225" spans="11:24" x14ac:dyDescent="0.25">
      <c r="K225" t="s">
        <v>47</v>
      </c>
      <c r="L225" t="s">
        <v>155</v>
      </c>
      <c r="M225" t="s">
        <v>44</v>
      </c>
      <c r="R225">
        <v>107</v>
      </c>
      <c r="X225">
        <f>V246</f>
        <v>6.7463750000000002E-4</v>
      </c>
    </row>
    <row r="226" spans="11:24" x14ac:dyDescent="0.25">
      <c r="M226" t="s">
        <v>45</v>
      </c>
      <c r="N226" t="s">
        <v>242</v>
      </c>
      <c r="O226" t="s">
        <v>46</v>
      </c>
      <c r="R226">
        <v>108</v>
      </c>
      <c r="S226">
        <v>2.9723300000000008E-2</v>
      </c>
      <c r="T226">
        <v>9.1597040000000003E-4</v>
      </c>
      <c r="V226">
        <f>Tabela2[[#This Row],[mass-flow-rate]]/2</f>
        <v>4.5798520000000001E-4</v>
      </c>
      <c r="X226">
        <f>V248</f>
        <v>1.1863885E-3</v>
      </c>
    </row>
    <row r="227" spans="11:24" x14ac:dyDescent="0.25">
      <c r="K227" t="s">
        <v>47</v>
      </c>
      <c r="L227" t="s">
        <v>156</v>
      </c>
      <c r="M227" t="s">
        <v>44</v>
      </c>
      <c r="R227">
        <v>108</v>
      </c>
      <c r="X227">
        <f>V250</f>
        <v>1.3712564999999999E-3</v>
      </c>
    </row>
    <row r="228" spans="11:24" x14ac:dyDescent="0.25">
      <c r="M228" t="s">
        <v>45</v>
      </c>
      <c r="N228" t="s">
        <v>242</v>
      </c>
      <c r="O228" t="s">
        <v>46</v>
      </c>
      <c r="R228">
        <v>109</v>
      </c>
      <c r="S228">
        <v>3.0001100000000003E-2</v>
      </c>
      <c r="T228">
        <v>1.0618299999999999E-3</v>
      </c>
      <c r="V228">
        <f>Tabela2[[#This Row],[mass-flow-rate]]/2</f>
        <v>5.3091499999999997E-4</v>
      </c>
      <c r="X228">
        <f>V240</f>
        <v>1.6457624999999999E-4</v>
      </c>
    </row>
    <row r="229" spans="11:24" x14ac:dyDescent="0.25">
      <c r="K229" t="s">
        <v>47</v>
      </c>
      <c r="L229" t="s">
        <v>157</v>
      </c>
      <c r="M229" t="s">
        <v>44</v>
      </c>
      <c r="R229">
        <v>109</v>
      </c>
      <c r="X229">
        <f>V242</f>
        <v>2.1638785000000001E-4</v>
      </c>
    </row>
    <row r="230" spans="11:24" x14ac:dyDescent="0.25">
      <c r="M230" t="s">
        <v>45</v>
      </c>
      <c r="N230" t="s">
        <v>242</v>
      </c>
      <c r="O230" t="s">
        <v>46</v>
      </c>
      <c r="R230">
        <v>110</v>
      </c>
      <c r="S230">
        <v>3.0278899999999997E-2</v>
      </c>
      <c r="T230">
        <v>8.7344820000000004E-4</v>
      </c>
      <c r="V230">
        <f>Tabela2[[#This Row],[mass-flow-rate]]/2</f>
        <v>4.3672410000000002E-4</v>
      </c>
      <c r="X230">
        <f>V244</f>
        <v>3.7487955000000002E-4</v>
      </c>
    </row>
    <row r="231" spans="11:24" x14ac:dyDescent="0.25">
      <c r="K231" t="s">
        <v>47</v>
      </c>
      <c r="L231" t="s">
        <v>158</v>
      </c>
      <c r="M231" t="s">
        <v>44</v>
      </c>
      <c r="R231">
        <v>110</v>
      </c>
      <c r="X231">
        <f>V246</f>
        <v>6.7463750000000002E-4</v>
      </c>
    </row>
    <row r="232" spans="11:24" x14ac:dyDescent="0.25">
      <c r="M232" t="s">
        <v>45</v>
      </c>
      <c r="N232" t="s">
        <v>242</v>
      </c>
      <c r="O232" t="s">
        <v>46</v>
      </c>
      <c r="R232">
        <v>111</v>
      </c>
      <c r="S232">
        <v>3.0556699999999992E-2</v>
      </c>
      <c r="T232">
        <v>6.6079870000000001E-4</v>
      </c>
      <c r="V232">
        <f>Tabela2[[#This Row],[mass-flow-rate]]/2</f>
        <v>3.3039935E-4</v>
      </c>
      <c r="X232">
        <f>V248</f>
        <v>1.1863885E-3</v>
      </c>
    </row>
    <row r="233" spans="11:24" x14ac:dyDescent="0.25">
      <c r="K233" t="s">
        <v>47</v>
      </c>
      <c r="L233" t="s">
        <v>159</v>
      </c>
      <c r="M233" t="s">
        <v>44</v>
      </c>
      <c r="R233">
        <v>111</v>
      </c>
      <c r="X233">
        <f>V250</f>
        <v>1.3712564999999999E-3</v>
      </c>
    </row>
    <row r="234" spans="11:24" x14ac:dyDescent="0.25">
      <c r="M234" t="s">
        <v>45</v>
      </c>
      <c r="N234" t="s">
        <v>242</v>
      </c>
      <c r="O234" t="s">
        <v>46</v>
      </c>
      <c r="R234">
        <v>112</v>
      </c>
      <c r="S234">
        <v>3.0834500000000042E-2</v>
      </c>
      <c r="T234">
        <v>5.1699109999999999E-4</v>
      </c>
      <c r="V234">
        <f>Tabela2[[#This Row],[mass-flow-rate]]/2</f>
        <v>2.5849555E-4</v>
      </c>
      <c r="X234">
        <f>V252</f>
        <v>1.0925279999999999E-3</v>
      </c>
    </row>
    <row r="235" spans="11:24" x14ac:dyDescent="0.25">
      <c r="K235" t="s">
        <v>47</v>
      </c>
      <c r="L235" t="s">
        <v>160</v>
      </c>
      <c r="M235" t="s">
        <v>44</v>
      </c>
      <c r="R235">
        <v>112</v>
      </c>
      <c r="X235">
        <f>V254</f>
        <v>7.0454049999999998E-4</v>
      </c>
    </row>
    <row r="236" spans="11:24" x14ac:dyDescent="0.25">
      <c r="M236" t="s">
        <v>45</v>
      </c>
      <c r="N236" t="s">
        <v>242</v>
      </c>
      <c r="O236" t="s">
        <v>46</v>
      </c>
      <c r="R236">
        <v>113</v>
      </c>
      <c r="S236">
        <v>3.1112200000000034E-2</v>
      </c>
      <c r="T236">
        <v>4.3169200000000001E-4</v>
      </c>
      <c r="V236">
        <f>Tabela2[[#This Row],[mass-flow-rate]]/2</f>
        <v>2.1584600000000001E-4</v>
      </c>
      <c r="X236">
        <f>V256</f>
        <v>3.214116E-4</v>
      </c>
    </row>
    <row r="237" spans="11:24" x14ac:dyDescent="0.25">
      <c r="K237" t="s">
        <v>47</v>
      </c>
      <c r="L237" t="s">
        <v>161</v>
      </c>
      <c r="M237" t="s">
        <v>44</v>
      </c>
      <c r="R237">
        <v>113</v>
      </c>
      <c r="X237">
        <f>V258</f>
        <v>-8.6761750000000003E-5</v>
      </c>
    </row>
    <row r="238" spans="11:24" x14ac:dyDescent="0.25">
      <c r="M238" t="s">
        <v>45</v>
      </c>
      <c r="N238" t="s">
        <v>242</v>
      </c>
      <c r="O238" t="s">
        <v>46</v>
      </c>
      <c r="R238">
        <v>114</v>
      </c>
      <c r="S238">
        <v>3.1390000000000029E-2</v>
      </c>
      <c r="T238">
        <v>3.566156E-4</v>
      </c>
      <c r="V238">
        <f>Tabela2[[#This Row],[mass-flow-rate]]/2</f>
        <v>1.783078E-4</v>
      </c>
      <c r="X238">
        <f>V260</f>
        <v>-3.3919430000000001E-4</v>
      </c>
    </row>
    <row r="239" spans="11:24" x14ac:dyDescent="0.25">
      <c r="K239" t="s">
        <v>47</v>
      </c>
      <c r="L239" t="s">
        <v>162</v>
      </c>
      <c r="M239" t="s">
        <v>44</v>
      </c>
      <c r="R239">
        <v>114</v>
      </c>
      <c r="X239">
        <f>V262</f>
        <v>-5.2841200000000002E-4</v>
      </c>
    </row>
    <row r="240" spans="11:24" x14ac:dyDescent="0.25">
      <c r="M240" t="s">
        <v>45</v>
      </c>
      <c r="N240" t="s">
        <v>242</v>
      </c>
      <c r="O240" t="s">
        <v>46</v>
      </c>
      <c r="R240">
        <v>115</v>
      </c>
      <c r="S240">
        <v>3.1667800000000024E-2</v>
      </c>
      <c r="T240">
        <v>3.2915249999999999E-4</v>
      </c>
      <c r="V240">
        <f>Tabela2[[#This Row],[mass-flow-rate]]/2</f>
        <v>1.6457624999999999E-4</v>
      </c>
      <c r="X240">
        <f>V252</f>
        <v>1.0925279999999999E-3</v>
      </c>
    </row>
    <row r="241" spans="11:24" x14ac:dyDescent="0.25">
      <c r="K241" t="s">
        <v>47</v>
      </c>
      <c r="L241" t="s">
        <v>163</v>
      </c>
      <c r="M241" t="s">
        <v>44</v>
      </c>
      <c r="R241">
        <v>115</v>
      </c>
      <c r="X241">
        <f>V254</f>
        <v>7.0454049999999998E-4</v>
      </c>
    </row>
    <row r="242" spans="11:24" x14ac:dyDescent="0.25">
      <c r="M242" t="s">
        <v>45</v>
      </c>
      <c r="N242" t="s">
        <v>242</v>
      </c>
      <c r="O242" t="s">
        <v>46</v>
      </c>
      <c r="R242">
        <v>116</v>
      </c>
      <c r="S242">
        <v>3.1945600000000018E-2</v>
      </c>
      <c r="T242">
        <v>4.3277570000000001E-4</v>
      </c>
      <c r="V242">
        <f>Tabela2[[#This Row],[mass-flow-rate]]/2</f>
        <v>2.1638785000000001E-4</v>
      </c>
      <c r="X242">
        <f>V256</f>
        <v>3.214116E-4</v>
      </c>
    </row>
    <row r="243" spans="11:24" x14ac:dyDescent="0.25">
      <c r="K243" t="s">
        <v>47</v>
      </c>
      <c r="L243" t="s">
        <v>164</v>
      </c>
      <c r="M243" t="s">
        <v>44</v>
      </c>
      <c r="R243">
        <v>116</v>
      </c>
      <c r="X243">
        <f>V258</f>
        <v>-8.6761750000000003E-5</v>
      </c>
    </row>
    <row r="244" spans="11:24" x14ac:dyDescent="0.25">
      <c r="M244" t="s">
        <v>45</v>
      </c>
      <c r="N244" t="s">
        <v>242</v>
      </c>
      <c r="O244" t="s">
        <v>46</v>
      </c>
      <c r="R244">
        <v>117</v>
      </c>
      <c r="S244">
        <v>3.2223400000000013E-2</v>
      </c>
      <c r="T244">
        <v>7.4975910000000005E-4</v>
      </c>
      <c r="V244">
        <f>Tabela2[[#This Row],[mass-flow-rate]]/2</f>
        <v>3.7487955000000002E-4</v>
      </c>
      <c r="X244">
        <f>V260</f>
        <v>-3.3919430000000001E-4</v>
      </c>
    </row>
    <row r="245" spans="11:24" x14ac:dyDescent="0.25">
      <c r="K245" t="s">
        <v>47</v>
      </c>
      <c r="L245" t="s">
        <v>165</v>
      </c>
      <c r="M245" t="s">
        <v>44</v>
      </c>
      <c r="R245">
        <v>117</v>
      </c>
      <c r="X245">
        <f>V262</f>
        <v>-5.2841200000000002E-4</v>
      </c>
    </row>
    <row r="246" spans="11:24" x14ac:dyDescent="0.25">
      <c r="M246" t="s">
        <v>45</v>
      </c>
      <c r="N246" t="s">
        <v>242</v>
      </c>
      <c r="O246" t="s">
        <v>46</v>
      </c>
      <c r="R246">
        <v>118</v>
      </c>
      <c r="S246">
        <v>3.2501200000000008E-2</v>
      </c>
      <c r="T246">
        <v>1.349275E-3</v>
      </c>
      <c r="V246">
        <f>Tabela2[[#This Row],[mass-flow-rate]]/2</f>
        <v>6.7463750000000002E-4</v>
      </c>
      <c r="X246">
        <f>V264</f>
        <v>-7.6317150000000005E-4</v>
      </c>
    </row>
    <row r="247" spans="11:24" x14ac:dyDescent="0.25">
      <c r="K247" t="s">
        <v>47</v>
      </c>
      <c r="L247" t="s">
        <v>166</v>
      </c>
      <c r="M247" t="s">
        <v>44</v>
      </c>
      <c r="R247">
        <v>118</v>
      </c>
      <c r="X247">
        <f>V266</f>
        <v>-8.45713E-4</v>
      </c>
    </row>
    <row r="248" spans="11:24" x14ac:dyDescent="0.25">
      <c r="M248" t="s">
        <v>45</v>
      </c>
      <c r="N248" t="s">
        <v>242</v>
      </c>
      <c r="O248" t="s">
        <v>46</v>
      </c>
      <c r="R248">
        <v>119</v>
      </c>
      <c r="S248">
        <v>3.2779000000000003E-2</v>
      </c>
      <c r="T248">
        <v>2.372777E-3</v>
      </c>
      <c r="V248">
        <f>Tabela2[[#This Row],[mass-flow-rate]]/2</f>
        <v>1.1863885E-3</v>
      </c>
      <c r="X248">
        <f>V268</f>
        <v>-7.1036799999999996E-4</v>
      </c>
    </row>
    <row r="249" spans="11:24" x14ac:dyDescent="0.25">
      <c r="K249" t="s">
        <v>47</v>
      </c>
      <c r="L249" t="s">
        <v>167</v>
      </c>
      <c r="M249" t="s">
        <v>44</v>
      </c>
      <c r="R249">
        <v>119</v>
      </c>
      <c r="X249">
        <f>V270</f>
        <v>-4.8360530000000001E-4</v>
      </c>
    </row>
    <row r="250" spans="11:24" x14ac:dyDescent="0.25">
      <c r="M250" t="s">
        <v>45</v>
      </c>
      <c r="N250" t="s">
        <v>242</v>
      </c>
      <c r="O250" t="s">
        <v>46</v>
      </c>
      <c r="R250">
        <v>120</v>
      </c>
      <c r="S250">
        <v>3.3056699999999994E-2</v>
      </c>
      <c r="T250">
        <v>2.7425129999999998E-3</v>
      </c>
      <c r="V250">
        <f>Tabela2[[#This Row],[mass-flow-rate]]/2</f>
        <v>1.3712564999999999E-3</v>
      </c>
      <c r="X250">
        <f>V272</f>
        <v>-2.0871995E-4</v>
      </c>
    </row>
    <row r="251" spans="11:24" x14ac:dyDescent="0.25">
      <c r="K251" t="s">
        <v>47</v>
      </c>
      <c r="L251" t="s">
        <v>168</v>
      </c>
      <c r="M251" t="s">
        <v>44</v>
      </c>
      <c r="R251">
        <v>120</v>
      </c>
      <c r="X251">
        <f>V274</f>
        <v>4.4849915E-5</v>
      </c>
    </row>
    <row r="252" spans="11:24" x14ac:dyDescent="0.25">
      <c r="M252" t="s">
        <v>45</v>
      </c>
      <c r="N252" t="s">
        <v>242</v>
      </c>
      <c r="O252" t="s">
        <v>46</v>
      </c>
      <c r="R252">
        <v>121</v>
      </c>
      <c r="S252">
        <v>3.3334500000000045E-2</v>
      </c>
      <c r="T252">
        <v>2.1850559999999999E-3</v>
      </c>
      <c r="V252">
        <f>Tabela2[[#This Row],[mass-flow-rate]]/2</f>
        <v>1.0925279999999999E-3</v>
      </c>
      <c r="X252">
        <f>V264</f>
        <v>-7.6317150000000005E-4</v>
      </c>
    </row>
    <row r="253" spans="11:24" x14ac:dyDescent="0.25">
      <c r="K253" t="s">
        <v>47</v>
      </c>
      <c r="L253" t="s">
        <v>169</v>
      </c>
      <c r="M253" t="s">
        <v>44</v>
      </c>
      <c r="R253">
        <v>121</v>
      </c>
      <c r="X253">
        <f>V266</f>
        <v>-8.45713E-4</v>
      </c>
    </row>
    <row r="254" spans="11:24" x14ac:dyDescent="0.25">
      <c r="M254" t="s">
        <v>45</v>
      </c>
      <c r="N254" t="s">
        <v>242</v>
      </c>
      <c r="O254" t="s">
        <v>46</v>
      </c>
      <c r="R254">
        <v>122</v>
      </c>
      <c r="S254">
        <v>3.3612300000000039E-2</v>
      </c>
      <c r="T254">
        <v>1.409081E-3</v>
      </c>
      <c r="V254">
        <f>Tabela2[[#This Row],[mass-flow-rate]]/2</f>
        <v>7.0454049999999998E-4</v>
      </c>
      <c r="X254">
        <f>V268</f>
        <v>-7.1036799999999996E-4</v>
      </c>
    </row>
    <row r="255" spans="11:24" x14ac:dyDescent="0.25">
      <c r="K255" t="s">
        <v>47</v>
      </c>
      <c r="L255" t="s">
        <v>170</v>
      </c>
      <c r="M255" t="s">
        <v>44</v>
      </c>
      <c r="R255">
        <v>122</v>
      </c>
      <c r="X255">
        <f>V270</f>
        <v>-4.8360530000000001E-4</v>
      </c>
    </row>
    <row r="256" spans="11:24" x14ac:dyDescent="0.25">
      <c r="M256" t="s">
        <v>45</v>
      </c>
      <c r="N256" t="s">
        <v>242</v>
      </c>
      <c r="O256" t="s">
        <v>46</v>
      </c>
      <c r="R256">
        <v>123</v>
      </c>
      <c r="S256">
        <v>3.3890100000000034E-2</v>
      </c>
      <c r="T256">
        <v>6.4282320000000001E-4</v>
      </c>
      <c r="V256">
        <f>Tabela2[[#This Row],[mass-flow-rate]]/2</f>
        <v>3.214116E-4</v>
      </c>
      <c r="X256">
        <f>V272</f>
        <v>-2.0871995E-4</v>
      </c>
    </row>
    <row r="257" spans="11:24" x14ac:dyDescent="0.25">
      <c r="K257" t="s">
        <v>47</v>
      </c>
      <c r="L257" t="s">
        <v>171</v>
      </c>
      <c r="M257" t="s">
        <v>44</v>
      </c>
      <c r="R257">
        <v>123</v>
      </c>
      <c r="X257">
        <f>V274</f>
        <v>4.4849915E-5</v>
      </c>
    </row>
    <row r="258" spans="11:24" x14ac:dyDescent="0.25">
      <c r="M258" t="s">
        <v>45</v>
      </c>
      <c r="N258" t="s">
        <v>242</v>
      </c>
      <c r="O258" t="s">
        <v>46</v>
      </c>
      <c r="R258">
        <v>124</v>
      </c>
      <c r="S258">
        <v>3.4167900000000029E-2</v>
      </c>
      <c r="T258">
        <v>-1.7352350000000001E-4</v>
      </c>
      <c r="V258">
        <f>Tabela2[[#This Row],[mass-flow-rate]]/2</f>
        <v>-8.6761750000000003E-5</v>
      </c>
      <c r="X258">
        <f>V276</f>
        <v>2.131991E-4</v>
      </c>
    </row>
    <row r="259" spans="11:24" x14ac:dyDescent="0.25">
      <c r="K259" t="s">
        <v>47</v>
      </c>
      <c r="L259" t="s">
        <v>172</v>
      </c>
      <c r="M259" t="s">
        <v>44</v>
      </c>
      <c r="R259">
        <v>124</v>
      </c>
      <c r="X259">
        <f>V278</f>
        <v>2.1808995E-4</v>
      </c>
    </row>
    <row r="260" spans="11:24" x14ac:dyDescent="0.25">
      <c r="M260" t="s">
        <v>45</v>
      </c>
      <c r="N260" t="s">
        <v>242</v>
      </c>
      <c r="O260" t="s">
        <v>46</v>
      </c>
      <c r="R260">
        <v>125</v>
      </c>
      <c r="S260">
        <v>3.4445700000000024E-2</v>
      </c>
      <c r="T260">
        <v>-6.7838860000000003E-4</v>
      </c>
      <c r="V260">
        <f>Tabela2[[#This Row],[mass-flow-rate]]/2</f>
        <v>-3.3919430000000001E-4</v>
      </c>
      <c r="X260">
        <f>V280</f>
        <v>-3.3986384999999999E-6</v>
      </c>
    </row>
    <row r="261" spans="11:24" x14ac:dyDescent="0.25">
      <c r="K261" t="s">
        <v>47</v>
      </c>
      <c r="L261" t="s">
        <v>173</v>
      </c>
      <c r="M261" t="s">
        <v>44</v>
      </c>
      <c r="R261">
        <v>125</v>
      </c>
      <c r="X261">
        <f>V282</f>
        <v>-4.2221795000000001E-4</v>
      </c>
    </row>
    <row r="262" spans="11:24" x14ac:dyDescent="0.25">
      <c r="M262" t="s">
        <v>45</v>
      </c>
      <c r="N262" t="s">
        <v>242</v>
      </c>
      <c r="O262" t="s">
        <v>46</v>
      </c>
      <c r="R262">
        <v>126</v>
      </c>
      <c r="S262">
        <v>3.4723500000000018E-2</v>
      </c>
      <c r="T262">
        <v>-1.056824E-3</v>
      </c>
      <c r="V262">
        <f>Tabela2[[#This Row],[mass-flow-rate]]/2</f>
        <v>-5.2841200000000002E-4</v>
      </c>
      <c r="X262">
        <f>V284</f>
        <v>-7.7578550000000003E-4</v>
      </c>
    </row>
    <row r="263" spans="11:24" x14ac:dyDescent="0.25">
      <c r="K263" t="s">
        <v>47</v>
      </c>
      <c r="L263" t="s">
        <v>174</v>
      </c>
      <c r="M263" t="s">
        <v>44</v>
      </c>
      <c r="R263">
        <v>126</v>
      </c>
      <c r="X263">
        <f>V286</f>
        <v>-8.77409E-4</v>
      </c>
    </row>
    <row r="264" spans="11:24" x14ac:dyDescent="0.25">
      <c r="M264" t="s">
        <v>45</v>
      </c>
      <c r="N264" t="s">
        <v>242</v>
      </c>
      <c r="O264" t="s">
        <v>46</v>
      </c>
      <c r="R264">
        <v>127</v>
      </c>
      <c r="S264">
        <v>3.5001300000000013E-2</v>
      </c>
      <c r="T264">
        <v>-1.5263430000000001E-3</v>
      </c>
      <c r="V264">
        <f>Tabela2[[#This Row],[mass-flow-rate]]/2</f>
        <v>-7.6317150000000005E-4</v>
      </c>
      <c r="X264">
        <f>V276</f>
        <v>2.131991E-4</v>
      </c>
    </row>
    <row r="265" spans="11:24" x14ac:dyDescent="0.25">
      <c r="K265" t="s">
        <v>47</v>
      </c>
      <c r="L265" t="s">
        <v>175</v>
      </c>
      <c r="M265" t="s">
        <v>44</v>
      </c>
      <c r="R265">
        <v>127</v>
      </c>
      <c r="X265">
        <f>V278</f>
        <v>2.1808995E-4</v>
      </c>
    </row>
    <row r="266" spans="11:24" x14ac:dyDescent="0.25">
      <c r="M266" t="s">
        <v>45</v>
      </c>
      <c r="N266" t="s">
        <v>242</v>
      </c>
      <c r="O266" t="s">
        <v>46</v>
      </c>
      <c r="R266">
        <v>128</v>
      </c>
      <c r="S266">
        <v>3.5279000000000005E-2</v>
      </c>
      <c r="T266">
        <v>-1.691426E-3</v>
      </c>
      <c r="V266">
        <f>Tabela2[[#This Row],[mass-flow-rate]]/2</f>
        <v>-8.45713E-4</v>
      </c>
      <c r="X266">
        <f>V280</f>
        <v>-3.3986384999999999E-6</v>
      </c>
    </row>
    <row r="267" spans="11:24" x14ac:dyDescent="0.25">
      <c r="K267" t="s">
        <v>47</v>
      </c>
      <c r="L267" t="s">
        <v>176</v>
      </c>
      <c r="M267" t="s">
        <v>44</v>
      </c>
      <c r="R267">
        <v>128</v>
      </c>
      <c r="X267">
        <f>V282</f>
        <v>-4.2221795000000001E-4</v>
      </c>
    </row>
    <row r="268" spans="11:24" x14ac:dyDescent="0.25">
      <c r="M268" t="s">
        <v>45</v>
      </c>
      <c r="N268" t="s">
        <v>242</v>
      </c>
      <c r="O268" t="s">
        <v>46</v>
      </c>
      <c r="R268">
        <v>129</v>
      </c>
      <c r="S268">
        <v>3.55568E-2</v>
      </c>
      <c r="T268">
        <v>-1.4207359999999999E-3</v>
      </c>
      <c r="V268">
        <f>Tabela2[[#This Row],[mass-flow-rate]]/2</f>
        <v>-7.1036799999999996E-4</v>
      </c>
      <c r="X268">
        <f>V284</f>
        <v>-7.7578550000000003E-4</v>
      </c>
    </row>
    <row r="269" spans="11:24" x14ac:dyDescent="0.25">
      <c r="K269" t="s">
        <v>47</v>
      </c>
      <c r="L269" t="s">
        <v>177</v>
      </c>
      <c r="M269" t="s">
        <v>44</v>
      </c>
      <c r="R269">
        <v>129</v>
      </c>
      <c r="X269">
        <f>V286</f>
        <v>-8.77409E-4</v>
      </c>
    </row>
    <row r="270" spans="11:24" x14ac:dyDescent="0.25">
      <c r="M270" t="s">
        <v>45</v>
      </c>
      <c r="N270" t="s">
        <v>242</v>
      </c>
      <c r="O270" t="s">
        <v>46</v>
      </c>
      <c r="R270">
        <v>130</v>
      </c>
      <c r="S270">
        <v>3.5834599999999994E-2</v>
      </c>
      <c r="T270">
        <v>-9.6721060000000002E-4</v>
      </c>
      <c r="V270">
        <f>Tabela2[[#This Row],[mass-flow-rate]]/2</f>
        <v>-4.8360530000000001E-4</v>
      </c>
      <c r="X270">
        <f>V282</f>
        <v>-4.2221795000000001E-4</v>
      </c>
    </row>
    <row r="271" spans="11:24" x14ac:dyDescent="0.25">
      <c r="K271" t="s">
        <v>47</v>
      </c>
      <c r="L271" t="s">
        <v>178</v>
      </c>
      <c r="M271" t="s">
        <v>44</v>
      </c>
      <c r="R271">
        <v>130</v>
      </c>
      <c r="X271">
        <f>V284</f>
        <v>-7.7578550000000003E-4</v>
      </c>
    </row>
    <row r="272" spans="11:24" x14ac:dyDescent="0.25">
      <c r="M272" t="s">
        <v>45</v>
      </c>
      <c r="N272" t="s">
        <v>242</v>
      </c>
      <c r="O272" t="s">
        <v>46</v>
      </c>
      <c r="R272">
        <v>131</v>
      </c>
      <c r="S272">
        <v>3.6112400000000044E-2</v>
      </c>
      <c r="T272">
        <v>-4.1743990000000001E-4</v>
      </c>
      <c r="V272">
        <f>Tabela2[[#This Row],[mass-flow-rate]]/2</f>
        <v>-2.0871995E-4</v>
      </c>
      <c r="X272">
        <f>V286</f>
        <v>-8.77409E-4</v>
      </c>
    </row>
    <row r="273" spans="11:24" x14ac:dyDescent="0.25">
      <c r="K273" t="s">
        <v>47</v>
      </c>
      <c r="L273" t="s">
        <v>179</v>
      </c>
      <c r="M273" t="s">
        <v>44</v>
      </c>
      <c r="R273">
        <v>131</v>
      </c>
      <c r="X273">
        <f>V288</f>
        <v>-6.6628450000000001E-4</v>
      </c>
    </row>
    <row r="274" spans="11:24" x14ac:dyDescent="0.25">
      <c r="M274" t="s">
        <v>45</v>
      </c>
      <c r="N274" t="s">
        <v>242</v>
      </c>
      <c r="O274" t="s">
        <v>46</v>
      </c>
      <c r="R274">
        <v>132</v>
      </c>
      <c r="S274">
        <v>3.6390200000000039E-2</v>
      </c>
      <c r="T274">
        <v>8.969983E-5</v>
      </c>
      <c r="V274">
        <f>Tabela2[[#This Row],[mass-flow-rate]]/2</f>
        <v>4.4849915E-5</v>
      </c>
      <c r="X274">
        <f>V290</f>
        <v>-4.1620475000000003E-4</v>
      </c>
    </row>
    <row r="275" spans="11:24" x14ac:dyDescent="0.25">
      <c r="K275" t="s">
        <v>47</v>
      </c>
      <c r="L275" t="s">
        <v>180</v>
      </c>
      <c r="M275" t="s">
        <v>44</v>
      </c>
      <c r="R275">
        <v>132</v>
      </c>
      <c r="X275">
        <f>V292</f>
        <v>-1.573364E-4</v>
      </c>
    </row>
    <row r="276" spans="11:24" x14ac:dyDescent="0.25">
      <c r="M276" t="s">
        <v>45</v>
      </c>
      <c r="N276" t="s">
        <v>242</v>
      </c>
      <c r="O276" t="s">
        <v>46</v>
      </c>
      <c r="R276">
        <v>133</v>
      </c>
      <c r="S276">
        <v>3.6668000000000034E-2</v>
      </c>
      <c r="T276">
        <v>4.2639819999999999E-4</v>
      </c>
      <c r="V276">
        <f>Tabela2[[#This Row],[mass-flow-rate]]/2</f>
        <v>2.131991E-4</v>
      </c>
      <c r="X276">
        <f>V288</f>
        <v>-6.6628450000000001E-4</v>
      </c>
    </row>
    <row r="277" spans="11:24" x14ac:dyDescent="0.25">
      <c r="K277" t="s">
        <v>47</v>
      </c>
      <c r="L277" t="s">
        <v>181</v>
      </c>
      <c r="M277" t="s">
        <v>44</v>
      </c>
      <c r="R277">
        <v>133</v>
      </c>
      <c r="X277">
        <f>V290</f>
        <v>-4.1620475000000003E-4</v>
      </c>
    </row>
    <row r="278" spans="11:24" x14ac:dyDescent="0.25">
      <c r="M278" t="s">
        <v>45</v>
      </c>
      <c r="N278" t="s">
        <v>242</v>
      </c>
      <c r="O278" t="s">
        <v>46</v>
      </c>
      <c r="R278">
        <v>134</v>
      </c>
      <c r="S278">
        <v>3.6945800000000029E-2</v>
      </c>
      <c r="T278">
        <v>4.3617990000000001E-4</v>
      </c>
      <c r="V278">
        <f>Tabela2[[#This Row],[mass-flow-rate]]/2</f>
        <v>2.1808995E-4</v>
      </c>
      <c r="X278">
        <f>V292</f>
        <v>-1.573364E-4</v>
      </c>
    </row>
    <row r="279" spans="11:24" x14ac:dyDescent="0.25">
      <c r="K279" t="s">
        <v>47</v>
      </c>
      <c r="L279" t="s">
        <v>182</v>
      </c>
      <c r="M279" t="s">
        <v>44</v>
      </c>
      <c r="R279">
        <v>134</v>
      </c>
      <c r="X279">
        <f>V294</f>
        <v>4.7303679999999998E-5</v>
      </c>
    </row>
    <row r="280" spans="11:24" x14ac:dyDescent="0.25">
      <c r="M280" t="s">
        <v>45</v>
      </c>
      <c r="N280" t="s">
        <v>242</v>
      </c>
      <c r="O280" t="s">
        <v>46</v>
      </c>
      <c r="R280">
        <v>135</v>
      </c>
      <c r="S280">
        <v>3.7223600000000023E-2</v>
      </c>
      <c r="T280">
        <v>-6.7972769999999997E-6</v>
      </c>
      <c r="V280">
        <f>Tabela2[[#This Row],[mass-flow-rate]]/2</f>
        <v>-3.3986384999999999E-6</v>
      </c>
      <c r="X280">
        <f>V296</f>
        <v>1.6299629999999999E-4</v>
      </c>
    </row>
    <row r="281" spans="11:24" x14ac:dyDescent="0.25">
      <c r="K281" t="s">
        <v>47</v>
      </c>
      <c r="L281" t="s">
        <v>183</v>
      </c>
      <c r="M281" t="s">
        <v>44</v>
      </c>
      <c r="R281">
        <v>135</v>
      </c>
      <c r="X281">
        <f>V298</f>
        <v>2.1611920000000001E-4</v>
      </c>
    </row>
    <row r="282" spans="11:24" x14ac:dyDescent="0.25">
      <c r="M282" t="s">
        <v>45</v>
      </c>
      <c r="N282" t="s">
        <v>242</v>
      </c>
      <c r="O282" t="s">
        <v>46</v>
      </c>
      <c r="R282">
        <v>136</v>
      </c>
      <c r="S282">
        <v>3.7501300000000015E-2</v>
      </c>
      <c r="T282">
        <v>-8.4443590000000002E-4</v>
      </c>
      <c r="V282">
        <f>Tabela2[[#This Row],[mass-flow-rate]]/2</f>
        <v>-4.2221795000000001E-4</v>
      </c>
      <c r="X282">
        <f>V294</f>
        <v>4.7303679999999998E-5</v>
      </c>
    </row>
    <row r="283" spans="11:24" x14ac:dyDescent="0.25">
      <c r="K283" t="s">
        <v>47</v>
      </c>
      <c r="L283" t="s">
        <v>184</v>
      </c>
      <c r="M283" t="s">
        <v>44</v>
      </c>
      <c r="R283">
        <v>136</v>
      </c>
      <c r="X283">
        <f>V296</f>
        <v>1.6299629999999999E-4</v>
      </c>
    </row>
    <row r="284" spans="11:24" x14ac:dyDescent="0.25">
      <c r="M284" t="s">
        <v>45</v>
      </c>
      <c r="N284" t="s">
        <v>242</v>
      </c>
      <c r="O284" t="s">
        <v>46</v>
      </c>
      <c r="R284">
        <v>137</v>
      </c>
      <c r="S284">
        <v>3.777910000000001E-2</v>
      </c>
      <c r="T284">
        <v>-1.5515710000000001E-3</v>
      </c>
      <c r="V284">
        <f>Tabela2[[#This Row],[mass-flow-rate]]/2</f>
        <v>-7.7578550000000003E-4</v>
      </c>
      <c r="X284">
        <f>V298</f>
        <v>2.1611920000000001E-4</v>
      </c>
    </row>
    <row r="285" spans="11:24" x14ac:dyDescent="0.25">
      <c r="K285" t="s">
        <v>47</v>
      </c>
      <c r="L285" t="s">
        <v>185</v>
      </c>
      <c r="M285" t="s">
        <v>44</v>
      </c>
      <c r="R285">
        <v>137</v>
      </c>
      <c r="X285">
        <f>V300</f>
        <v>2.4621575000000003E-4</v>
      </c>
    </row>
    <row r="286" spans="11:24" x14ac:dyDescent="0.25">
      <c r="M286" t="s">
        <v>45</v>
      </c>
      <c r="N286" t="s">
        <v>242</v>
      </c>
      <c r="O286" t="s">
        <v>46</v>
      </c>
      <c r="R286">
        <v>138</v>
      </c>
      <c r="S286">
        <v>3.8056900000000005E-2</v>
      </c>
      <c r="T286">
        <v>-1.754818E-3</v>
      </c>
      <c r="V286">
        <f>Tabela2[[#This Row],[mass-flow-rate]]/2</f>
        <v>-8.77409E-4</v>
      </c>
      <c r="X286">
        <f>V302</f>
        <v>1.1340295E-2</v>
      </c>
    </row>
    <row r="287" spans="11:24" x14ac:dyDescent="0.25">
      <c r="K287" t="s">
        <v>47</v>
      </c>
      <c r="L287" t="s">
        <v>186</v>
      </c>
      <c r="M287" t="s">
        <v>44</v>
      </c>
      <c r="R287">
        <v>138</v>
      </c>
      <c r="X287">
        <f>V304</f>
        <v>3.4118425000000001E-2</v>
      </c>
    </row>
    <row r="288" spans="11:24" x14ac:dyDescent="0.25">
      <c r="M288" t="s">
        <v>45</v>
      </c>
      <c r="N288" t="s">
        <v>242</v>
      </c>
      <c r="O288" t="s">
        <v>46</v>
      </c>
      <c r="R288">
        <v>139</v>
      </c>
      <c r="S288">
        <v>3.8334699999999999E-2</v>
      </c>
      <c r="T288">
        <v>-1.332569E-3</v>
      </c>
      <c r="V288">
        <f>Tabela2[[#This Row],[mass-flow-rate]]/2</f>
        <v>-6.6628450000000001E-4</v>
      </c>
      <c r="X288">
        <f>V300</f>
        <v>2.4621575000000003E-4</v>
      </c>
    </row>
    <row r="289" spans="11:24" x14ac:dyDescent="0.25">
      <c r="K289" t="s">
        <v>47</v>
      </c>
      <c r="L289" t="s">
        <v>187</v>
      </c>
      <c r="M289" t="s">
        <v>44</v>
      </c>
      <c r="R289">
        <v>139</v>
      </c>
      <c r="X289">
        <f>V302</f>
        <v>1.1340295E-2</v>
      </c>
    </row>
    <row r="290" spans="11:24" x14ac:dyDescent="0.25">
      <c r="M290" t="s">
        <v>45</v>
      </c>
      <c r="N290" t="s">
        <v>242</v>
      </c>
      <c r="O290" t="s">
        <v>46</v>
      </c>
      <c r="R290">
        <v>140</v>
      </c>
      <c r="S290">
        <v>3.8612499999999994E-2</v>
      </c>
      <c r="T290">
        <v>-8.3240950000000005E-4</v>
      </c>
      <c r="V290">
        <f>Tabela2[[#This Row],[mass-flow-rate]]/2</f>
        <v>-4.1620475000000003E-4</v>
      </c>
      <c r="X290">
        <f>V304</f>
        <v>3.4118425000000001E-2</v>
      </c>
    </row>
    <row r="291" spans="11:24" x14ac:dyDescent="0.25">
      <c r="K291" t="s">
        <v>47</v>
      </c>
      <c r="L291" t="s">
        <v>188</v>
      </c>
      <c r="M291" t="s">
        <v>44</v>
      </c>
      <c r="R291">
        <v>140</v>
      </c>
      <c r="X291">
        <f>V306</f>
        <v>5.9331200000000001E-2</v>
      </c>
    </row>
    <row r="292" spans="11:24" x14ac:dyDescent="0.25">
      <c r="M292" t="s">
        <v>45</v>
      </c>
      <c r="N292" t="s">
        <v>242</v>
      </c>
      <c r="O292" t="s">
        <v>46</v>
      </c>
      <c r="R292">
        <v>141</v>
      </c>
      <c r="S292">
        <v>3.8890300000000044E-2</v>
      </c>
      <c r="T292">
        <v>-3.146728E-4</v>
      </c>
      <c r="V292">
        <f>Tabela2[[#This Row],[mass-flow-rate]]/2</f>
        <v>-1.573364E-4</v>
      </c>
      <c r="X292">
        <f>V308</f>
        <v>7.9435450000000005E-2</v>
      </c>
    </row>
    <row r="293" spans="11:24" x14ac:dyDescent="0.25">
      <c r="K293" t="s">
        <v>47</v>
      </c>
      <c r="L293" t="s">
        <v>189</v>
      </c>
      <c r="M293" t="s">
        <v>44</v>
      </c>
      <c r="R293">
        <v>141</v>
      </c>
      <c r="X293">
        <f>V310</f>
        <v>9.3659800000000001E-2</v>
      </c>
    </row>
    <row r="294" spans="11:24" x14ac:dyDescent="0.25">
      <c r="M294" t="s">
        <v>45</v>
      </c>
      <c r="N294" t="s">
        <v>242</v>
      </c>
      <c r="O294" t="s">
        <v>46</v>
      </c>
      <c r="R294">
        <v>142</v>
      </c>
      <c r="S294">
        <v>3.9168100000000039E-2</v>
      </c>
      <c r="T294">
        <v>9.4607359999999995E-5</v>
      </c>
      <c r="V294">
        <f>Tabela2[[#This Row],[mass-flow-rate]]/2</f>
        <v>4.7303679999999998E-5</v>
      </c>
      <c r="X294">
        <f>V306</f>
        <v>5.9331200000000001E-2</v>
      </c>
    </row>
    <row r="295" spans="11:24" x14ac:dyDescent="0.25">
      <c r="K295" t="s">
        <v>47</v>
      </c>
      <c r="L295" t="s">
        <v>190</v>
      </c>
      <c r="M295" t="s">
        <v>44</v>
      </c>
      <c r="R295">
        <v>142</v>
      </c>
      <c r="X295">
        <f>V308</f>
        <v>7.9435450000000005E-2</v>
      </c>
    </row>
    <row r="296" spans="11:24" x14ac:dyDescent="0.25">
      <c r="M296" t="s">
        <v>45</v>
      </c>
      <c r="N296" t="s">
        <v>242</v>
      </c>
      <c r="O296" t="s">
        <v>46</v>
      </c>
      <c r="R296">
        <v>143</v>
      </c>
      <c r="S296">
        <v>3.9445900000000034E-2</v>
      </c>
      <c r="T296">
        <v>3.2599259999999998E-4</v>
      </c>
      <c r="V296">
        <f>Tabela2[[#This Row],[mass-flow-rate]]/2</f>
        <v>1.6299629999999999E-4</v>
      </c>
      <c r="X296">
        <f>V310</f>
        <v>9.3659800000000001E-2</v>
      </c>
    </row>
    <row r="297" spans="11:24" x14ac:dyDescent="0.25">
      <c r="K297" t="s">
        <v>47</v>
      </c>
      <c r="L297" t="s">
        <v>191</v>
      </c>
      <c r="M297" t="s">
        <v>44</v>
      </c>
      <c r="R297">
        <v>143</v>
      </c>
      <c r="X297">
        <f>V312</f>
        <v>0.1080353</v>
      </c>
    </row>
    <row r="298" spans="11:24" x14ac:dyDescent="0.25">
      <c r="M298" t="s">
        <v>45</v>
      </c>
      <c r="N298" t="s">
        <v>301</v>
      </c>
      <c r="O298" t="s">
        <v>46</v>
      </c>
      <c r="R298">
        <v>144</v>
      </c>
      <c r="S298">
        <v>3.9723600000000026E-2</v>
      </c>
      <c r="T298">
        <v>4.3223840000000002E-4</v>
      </c>
      <c r="V298">
        <f>Tabela2[[#This Row],[mass-flow-rate]]/2</f>
        <v>2.1611920000000001E-4</v>
      </c>
      <c r="X298">
        <f>V314</f>
        <v>0.12025455</v>
      </c>
    </row>
    <row r="299" spans="11:24" x14ac:dyDescent="0.25">
      <c r="K299" t="s">
        <v>47</v>
      </c>
      <c r="L299" t="s">
        <v>192</v>
      </c>
      <c r="M299" t="s">
        <v>44</v>
      </c>
      <c r="R299">
        <v>144</v>
      </c>
      <c r="X299">
        <f>V316</f>
        <v>0.1293628</v>
      </c>
    </row>
    <row r="300" spans="11:24" x14ac:dyDescent="0.25">
      <c r="M300" t="s">
        <v>45</v>
      </c>
      <c r="N300" t="s">
        <v>302</v>
      </c>
      <c r="O300" t="s">
        <v>46</v>
      </c>
      <c r="R300">
        <v>145</v>
      </c>
      <c r="S300">
        <v>4.000140000000002E-2</v>
      </c>
      <c r="T300">
        <v>4.9243150000000005E-4</v>
      </c>
      <c r="V300">
        <f>Tabela2[[#This Row],[mass-flow-rate]]/2</f>
        <v>2.4621575000000003E-4</v>
      </c>
      <c r="X300">
        <f>V312</f>
        <v>0.1080353</v>
      </c>
    </row>
    <row r="301" spans="11:24" x14ac:dyDescent="0.25">
      <c r="K301" t="s">
        <v>47</v>
      </c>
      <c r="L301" t="s">
        <v>193</v>
      </c>
      <c r="M301" t="s">
        <v>44</v>
      </c>
      <c r="R301">
        <v>145</v>
      </c>
      <c r="X301">
        <f>V314</f>
        <v>0.12025455</v>
      </c>
    </row>
    <row r="302" spans="11:24" x14ac:dyDescent="0.25">
      <c r="M302" t="s">
        <v>45</v>
      </c>
      <c r="N302" t="s">
        <v>303</v>
      </c>
      <c r="O302" t="s">
        <v>46</v>
      </c>
      <c r="R302">
        <v>146</v>
      </c>
      <c r="S302">
        <v>4.0279200000000015E-2</v>
      </c>
      <c r="T302">
        <v>2.268059E-2</v>
      </c>
      <c r="V302">
        <f>Tabela2[[#This Row],[mass-flow-rate]]/2</f>
        <v>1.1340295E-2</v>
      </c>
      <c r="X302">
        <f>V316</f>
        <v>0.1293628</v>
      </c>
    </row>
    <row r="303" spans="11:24" x14ac:dyDescent="0.25">
      <c r="K303" t="s">
        <v>47</v>
      </c>
      <c r="L303" t="s">
        <v>194</v>
      </c>
      <c r="M303" t="s">
        <v>44</v>
      </c>
      <c r="R303">
        <v>146</v>
      </c>
      <c r="X303">
        <f>V318</f>
        <v>0.1377159</v>
      </c>
    </row>
    <row r="304" spans="11:24" x14ac:dyDescent="0.25">
      <c r="M304" t="s">
        <v>45</v>
      </c>
      <c r="N304" t="s">
        <v>304</v>
      </c>
      <c r="O304" t="s">
        <v>46</v>
      </c>
      <c r="R304">
        <v>147</v>
      </c>
      <c r="S304">
        <v>4.055700000000001E-2</v>
      </c>
      <c r="T304">
        <v>6.8236850000000002E-2</v>
      </c>
      <c r="V304">
        <f>Tabela2[[#This Row],[mass-flow-rate]]/2</f>
        <v>3.4118425000000001E-2</v>
      </c>
      <c r="X304">
        <f>V320</f>
        <v>0.1494711</v>
      </c>
    </row>
    <row r="305" spans="11:24" x14ac:dyDescent="0.25">
      <c r="K305" t="s">
        <v>47</v>
      </c>
      <c r="L305" t="s">
        <v>195</v>
      </c>
      <c r="M305" t="s">
        <v>44</v>
      </c>
      <c r="R305">
        <v>147</v>
      </c>
      <c r="X305">
        <f>V322</f>
        <v>0.16252259999999999</v>
      </c>
    </row>
    <row r="306" spans="11:24" x14ac:dyDescent="0.25">
      <c r="M306" t="s">
        <v>45</v>
      </c>
      <c r="N306" t="s">
        <v>305</v>
      </c>
      <c r="O306" t="s">
        <v>46</v>
      </c>
      <c r="R306">
        <v>148</v>
      </c>
      <c r="S306">
        <v>4.0834800000000004E-2</v>
      </c>
      <c r="T306">
        <v>0.1186624</v>
      </c>
      <c r="V306">
        <f>Tabela2[[#This Row],[mass-flow-rate]]/2</f>
        <v>5.9331200000000001E-2</v>
      </c>
      <c r="X306">
        <f>V318</f>
        <v>0.1377159</v>
      </c>
    </row>
    <row r="307" spans="11:24" x14ac:dyDescent="0.25">
      <c r="K307" t="s">
        <v>47</v>
      </c>
      <c r="L307" t="s">
        <v>196</v>
      </c>
      <c r="M307" t="s">
        <v>44</v>
      </c>
      <c r="R307">
        <v>148</v>
      </c>
      <c r="X307">
        <f>V320</f>
        <v>0.1494711</v>
      </c>
    </row>
    <row r="308" spans="11:24" x14ac:dyDescent="0.25">
      <c r="M308" t="s">
        <v>45</v>
      </c>
      <c r="N308" t="s">
        <v>306</v>
      </c>
      <c r="O308" t="s">
        <v>46</v>
      </c>
      <c r="R308">
        <v>149</v>
      </c>
      <c r="S308">
        <v>4.1112599999999999E-2</v>
      </c>
      <c r="T308">
        <v>0.15887090000000001</v>
      </c>
      <c r="V308">
        <f>Tabela2[[#This Row],[mass-flow-rate]]/2</f>
        <v>7.9435450000000005E-2</v>
      </c>
      <c r="X308">
        <f>V322</f>
        <v>0.16252259999999999</v>
      </c>
    </row>
    <row r="309" spans="11:24" x14ac:dyDescent="0.25">
      <c r="K309" t="s">
        <v>47</v>
      </c>
      <c r="L309" t="s">
        <v>197</v>
      </c>
      <c r="M309" t="s">
        <v>44</v>
      </c>
      <c r="R309">
        <v>149</v>
      </c>
      <c r="X309">
        <f>V324</f>
        <v>0.17400280000000001</v>
      </c>
    </row>
    <row r="310" spans="11:24" x14ac:dyDescent="0.25">
      <c r="M310" t="s">
        <v>45</v>
      </c>
      <c r="N310" t="s">
        <v>307</v>
      </c>
      <c r="O310" t="s">
        <v>46</v>
      </c>
      <c r="R310">
        <v>150</v>
      </c>
      <c r="S310">
        <v>4.1390399999999994E-2</v>
      </c>
      <c r="T310">
        <v>0.1873196</v>
      </c>
      <c r="V310">
        <f>Tabela2[[#This Row],[mass-flow-rate]]/2</f>
        <v>9.3659800000000001E-2</v>
      </c>
      <c r="X310">
        <f>V326</f>
        <v>0.18150885</v>
      </c>
    </row>
    <row r="311" spans="11:24" x14ac:dyDescent="0.25">
      <c r="K311" t="s">
        <v>47</v>
      </c>
      <c r="L311" t="s">
        <v>198</v>
      </c>
      <c r="M311" t="s">
        <v>44</v>
      </c>
      <c r="R311">
        <v>150</v>
      </c>
      <c r="X311">
        <f>V328</f>
        <v>0.1881398</v>
      </c>
    </row>
    <row r="312" spans="11:24" x14ac:dyDescent="0.25">
      <c r="M312" t="s">
        <v>45</v>
      </c>
      <c r="N312" t="s">
        <v>308</v>
      </c>
      <c r="O312" t="s">
        <v>46</v>
      </c>
      <c r="R312">
        <v>151</v>
      </c>
      <c r="S312">
        <v>4.1668200000000044E-2</v>
      </c>
      <c r="T312">
        <v>0.2160706</v>
      </c>
      <c r="V312">
        <f>Tabela2[[#This Row],[mass-flow-rate]]/2</f>
        <v>0.1080353</v>
      </c>
      <c r="X312">
        <f>V324</f>
        <v>0.17400280000000001</v>
      </c>
    </row>
    <row r="313" spans="11:24" x14ac:dyDescent="0.25">
      <c r="K313" t="s">
        <v>47</v>
      </c>
      <c r="L313" t="s">
        <v>199</v>
      </c>
      <c r="M313" t="s">
        <v>44</v>
      </c>
      <c r="R313">
        <v>151</v>
      </c>
      <c r="X313">
        <f>V326</f>
        <v>0.18150885</v>
      </c>
    </row>
    <row r="314" spans="11:24" x14ac:dyDescent="0.25">
      <c r="M314" t="s">
        <v>45</v>
      </c>
      <c r="N314" t="s">
        <v>309</v>
      </c>
      <c r="O314" t="s">
        <v>46</v>
      </c>
      <c r="R314">
        <v>152</v>
      </c>
      <c r="S314">
        <v>4.1945900000000036E-2</v>
      </c>
      <c r="T314">
        <v>0.2405091</v>
      </c>
      <c r="V314">
        <f>Tabela2[[#This Row],[mass-flow-rate]]/2</f>
        <v>0.12025455</v>
      </c>
      <c r="X314">
        <f>V328</f>
        <v>0.1881398</v>
      </c>
    </row>
    <row r="315" spans="11:24" x14ac:dyDescent="0.25">
      <c r="K315" t="s">
        <v>47</v>
      </c>
      <c r="L315" t="s">
        <v>200</v>
      </c>
      <c r="M315" t="s">
        <v>44</v>
      </c>
      <c r="R315">
        <v>152</v>
      </c>
      <c r="X315">
        <f>V330</f>
        <v>0.19430254999999999</v>
      </c>
    </row>
    <row r="316" spans="11:24" x14ac:dyDescent="0.25">
      <c r="M316" t="s">
        <v>45</v>
      </c>
      <c r="N316" t="s">
        <v>310</v>
      </c>
      <c r="O316" t="s">
        <v>46</v>
      </c>
      <c r="R316">
        <v>153</v>
      </c>
      <c r="S316">
        <v>4.2223700000000031E-2</v>
      </c>
      <c r="T316">
        <v>0.2587256</v>
      </c>
      <c r="V316">
        <f>Tabela2[[#This Row],[mass-flow-rate]]/2</f>
        <v>0.1293628</v>
      </c>
      <c r="X316">
        <f>V332</f>
        <v>0.19821635000000001</v>
      </c>
    </row>
    <row r="317" spans="11:24" x14ac:dyDescent="0.25">
      <c r="K317" t="s">
        <v>47</v>
      </c>
      <c r="L317" t="s">
        <v>201</v>
      </c>
      <c r="M317" t="s">
        <v>44</v>
      </c>
      <c r="R317">
        <v>153</v>
      </c>
      <c r="X317">
        <f>V334</f>
        <v>0.19756285000000001</v>
      </c>
    </row>
    <row r="318" spans="11:24" x14ac:dyDescent="0.25">
      <c r="M318" t="s">
        <v>45</v>
      </c>
      <c r="N318" t="s">
        <v>311</v>
      </c>
      <c r="O318" t="s">
        <v>46</v>
      </c>
      <c r="R318">
        <v>154</v>
      </c>
      <c r="S318">
        <v>4.2501500000000025E-2</v>
      </c>
      <c r="T318">
        <v>0.2754318</v>
      </c>
      <c r="V318">
        <f>Tabela2[[#This Row],[mass-flow-rate]]/2</f>
        <v>0.1377159</v>
      </c>
      <c r="X318">
        <f>V330</f>
        <v>0.19430254999999999</v>
      </c>
    </row>
    <row r="319" spans="11:24" x14ac:dyDescent="0.25">
      <c r="K319" t="s">
        <v>47</v>
      </c>
      <c r="L319" t="s">
        <v>202</v>
      </c>
      <c r="M319" t="s">
        <v>44</v>
      </c>
      <c r="R319">
        <v>154</v>
      </c>
      <c r="X319">
        <f>V332</f>
        <v>0.19821635000000001</v>
      </c>
    </row>
    <row r="320" spans="11:24" x14ac:dyDescent="0.25">
      <c r="M320" t="s">
        <v>45</v>
      </c>
      <c r="N320" t="s">
        <v>312</v>
      </c>
      <c r="O320" t="s">
        <v>46</v>
      </c>
      <c r="R320">
        <v>155</v>
      </c>
      <c r="S320">
        <v>4.277930000000002E-2</v>
      </c>
      <c r="T320">
        <v>0.29894219999999999</v>
      </c>
      <c r="V320">
        <f>Tabela2[[#This Row],[mass-flow-rate]]/2</f>
        <v>0.1494711</v>
      </c>
      <c r="X320">
        <f>V334</f>
        <v>0.19756285000000001</v>
      </c>
    </row>
    <row r="321" spans="11:24" x14ac:dyDescent="0.25">
      <c r="K321" t="s">
        <v>47</v>
      </c>
      <c r="L321" t="s">
        <v>203</v>
      </c>
      <c r="M321" t="s">
        <v>44</v>
      </c>
      <c r="R321">
        <v>155</v>
      </c>
      <c r="X321">
        <f>V336</f>
        <v>0.19356445</v>
      </c>
    </row>
    <row r="322" spans="11:24" x14ac:dyDescent="0.25">
      <c r="M322" t="s">
        <v>45</v>
      </c>
      <c r="N322" t="s">
        <v>313</v>
      </c>
      <c r="O322" t="s">
        <v>46</v>
      </c>
      <c r="R322">
        <v>156</v>
      </c>
      <c r="S322">
        <v>4.3057100000000015E-2</v>
      </c>
      <c r="T322">
        <v>0.32504519999999998</v>
      </c>
      <c r="V322">
        <f>Tabela2[[#This Row],[mass-flow-rate]]/2</f>
        <v>0.16252259999999999</v>
      </c>
      <c r="X322">
        <f>V338</f>
        <v>0.18267105</v>
      </c>
    </row>
    <row r="323" spans="11:24" x14ac:dyDescent="0.25">
      <c r="K323" t="s">
        <v>47</v>
      </c>
      <c r="L323" t="s">
        <v>204</v>
      </c>
      <c r="M323" t="s">
        <v>44</v>
      </c>
      <c r="R323">
        <v>156</v>
      </c>
      <c r="X323">
        <f>V340</f>
        <v>0.16657315</v>
      </c>
    </row>
    <row r="324" spans="11:24" x14ac:dyDescent="0.25">
      <c r="M324" t="s">
        <v>45</v>
      </c>
      <c r="N324" t="s">
        <v>314</v>
      </c>
      <c r="O324" t="s">
        <v>46</v>
      </c>
      <c r="R324">
        <v>157</v>
      </c>
      <c r="S324">
        <v>4.333490000000001E-2</v>
      </c>
      <c r="T324">
        <v>0.34800560000000003</v>
      </c>
      <c r="V324">
        <f>Tabela2[[#This Row],[mass-flow-rate]]/2</f>
        <v>0.17400280000000001</v>
      </c>
      <c r="X324">
        <f>V336</f>
        <v>0.19356445</v>
      </c>
    </row>
    <row r="325" spans="11:24" x14ac:dyDescent="0.25">
      <c r="K325" t="s">
        <v>47</v>
      </c>
      <c r="L325" t="s">
        <v>205</v>
      </c>
      <c r="M325" t="s">
        <v>44</v>
      </c>
      <c r="R325">
        <v>157</v>
      </c>
    </row>
    <row r="326" spans="11:24" x14ac:dyDescent="0.25">
      <c r="M326" t="s">
        <v>45</v>
      </c>
      <c r="N326" t="s">
        <v>315</v>
      </c>
      <c r="O326" t="s">
        <v>46</v>
      </c>
      <c r="R326">
        <v>158</v>
      </c>
      <c r="S326">
        <v>4.3612700000000004E-2</v>
      </c>
      <c r="T326">
        <v>0.3630177</v>
      </c>
      <c r="V326">
        <f>Tabela2[[#This Row],[mass-flow-rate]]/2</f>
        <v>0.18150885</v>
      </c>
    </row>
    <row r="327" spans="11:24" x14ac:dyDescent="0.25">
      <c r="K327" t="s">
        <v>47</v>
      </c>
      <c r="L327" t="s">
        <v>206</v>
      </c>
      <c r="M327" t="s">
        <v>44</v>
      </c>
      <c r="R327">
        <v>158</v>
      </c>
    </row>
    <row r="328" spans="11:24" x14ac:dyDescent="0.25">
      <c r="M328" t="s">
        <v>45</v>
      </c>
      <c r="N328" t="s">
        <v>316</v>
      </c>
      <c r="O328" t="s">
        <v>46</v>
      </c>
      <c r="R328">
        <v>159</v>
      </c>
      <c r="S328">
        <v>4.3890499999999999E-2</v>
      </c>
      <c r="T328">
        <v>0.37627959999999999</v>
      </c>
      <c r="V328">
        <f>Tabela2[[#This Row],[mass-flow-rate]]/2</f>
        <v>0.1881398</v>
      </c>
    </row>
    <row r="329" spans="11:24" x14ac:dyDescent="0.25">
      <c r="K329" t="s">
        <v>47</v>
      </c>
      <c r="L329" t="s">
        <v>207</v>
      </c>
      <c r="M329" t="s">
        <v>44</v>
      </c>
      <c r="R329">
        <v>159</v>
      </c>
    </row>
    <row r="330" spans="11:24" x14ac:dyDescent="0.25">
      <c r="M330" t="s">
        <v>45</v>
      </c>
      <c r="N330" t="s">
        <v>317</v>
      </c>
      <c r="O330" t="s">
        <v>46</v>
      </c>
      <c r="R330">
        <v>160</v>
      </c>
      <c r="S330">
        <v>4.4168200000000046E-2</v>
      </c>
      <c r="T330">
        <v>0.38860509999999998</v>
      </c>
      <c r="V330">
        <f>Tabela2[[#This Row],[mass-flow-rate]]/2</f>
        <v>0.19430254999999999</v>
      </c>
    </row>
    <row r="331" spans="11:24" x14ac:dyDescent="0.25">
      <c r="K331" t="s">
        <v>47</v>
      </c>
      <c r="L331" t="s">
        <v>208</v>
      </c>
      <c r="M331" t="s">
        <v>44</v>
      </c>
      <c r="R331">
        <v>160</v>
      </c>
    </row>
    <row r="332" spans="11:24" x14ac:dyDescent="0.25">
      <c r="M332" t="s">
        <v>45</v>
      </c>
      <c r="N332" t="s">
        <v>318</v>
      </c>
      <c r="O332" t="s">
        <v>46</v>
      </c>
      <c r="R332">
        <v>161</v>
      </c>
      <c r="S332">
        <v>4.4446000000000041E-2</v>
      </c>
      <c r="T332">
        <v>0.39643270000000003</v>
      </c>
      <c r="V332">
        <f>Tabela2[[#This Row],[mass-flow-rate]]/2</f>
        <v>0.19821635000000001</v>
      </c>
    </row>
    <row r="333" spans="11:24" x14ac:dyDescent="0.25">
      <c r="K333" t="s">
        <v>47</v>
      </c>
      <c r="L333" t="s">
        <v>209</v>
      </c>
      <c r="M333" t="s">
        <v>44</v>
      </c>
      <c r="R333">
        <v>161</v>
      </c>
    </row>
    <row r="334" spans="11:24" x14ac:dyDescent="0.25">
      <c r="M334" t="s">
        <v>45</v>
      </c>
      <c r="N334" t="s">
        <v>319</v>
      </c>
      <c r="O334" t="s">
        <v>46</v>
      </c>
      <c r="R334">
        <v>162</v>
      </c>
      <c r="S334">
        <v>4.4723800000000036E-2</v>
      </c>
      <c r="T334">
        <v>0.39512570000000002</v>
      </c>
      <c r="V334">
        <f>Tabela2[[#This Row],[mass-flow-rate]]/2</f>
        <v>0.19756285000000001</v>
      </c>
    </row>
    <row r="335" spans="11:24" x14ac:dyDescent="0.25">
      <c r="K335" t="s">
        <v>47</v>
      </c>
      <c r="L335" t="s">
        <v>210</v>
      </c>
      <c r="M335" t="s">
        <v>44</v>
      </c>
      <c r="R335">
        <v>162</v>
      </c>
    </row>
    <row r="336" spans="11:24" x14ac:dyDescent="0.25">
      <c r="M336" t="s">
        <v>45</v>
      </c>
      <c r="N336" t="s">
        <v>320</v>
      </c>
      <c r="O336" t="s">
        <v>46</v>
      </c>
      <c r="R336">
        <v>163</v>
      </c>
      <c r="S336">
        <v>4.500160000000003E-2</v>
      </c>
      <c r="T336">
        <v>0.3871289</v>
      </c>
      <c r="V336">
        <f>Tabela2[[#This Row],[mass-flow-rate]]/2</f>
        <v>0.19356445</v>
      </c>
    </row>
    <row r="337" spans="11:22" x14ac:dyDescent="0.25">
      <c r="K337" t="s">
        <v>47</v>
      </c>
      <c r="L337" t="s">
        <v>211</v>
      </c>
      <c r="M337" t="s">
        <v>44</v>
      </c>
      <c r="R337">
        <v>163</v>
      </c>
    </row>
    <row r="338" spans="11:22" x14ac:dyDescent="0.25">
      <c r="M338" t="s">
        <v>45</v>
      </c>
      <c r="N338" t="s">
        <v>321</v>
      </c>
      <c r="O338" t="s">
        <v>46</v>
      </c>
      <c r="R338">
        <v>164</v>
      </c>
      <c r="S338">
        <v>4.5279400000000025E-2</v>
      </c>
      <c r="T338">
        <v>0.3653421</v>
      </c>
      <c r="V338">
        <f>Tabela2[[#This Row],[mass-flow-rate]]/2</f>
        <v>0.18267105</v>
      </c>
    </row>
    <row r="339" spans="11:22" x14ac:dyDescent="0.25">
      <c r="K339" t="s">
        <v>47</v>
      </c>
      <c r="L339" t="s">
        <v>212</v>
      </c>
      <c r="M339" t="s">
        <v>44</v>
      </c>
      <c r="R339">
        <v>164</v>
      </c>
    </row>
    <row r="340" spans="11:22" x14ac:dyDescent="0.25">
      <c r="M340" t="s">
        <v>45</v>
      </c>
      <c r="N340" t="s">
        <v>322</v>
      </c>
      <c r="O340" t="s">
        <v>46</v>
      </c>
      <c r="R340">
        <v>165</v>
      </c>
      <c r="S340">
        <v>4.555720000000002E-2</v>
      </c>
      <c r="T340">
        <v>0.33314630000000001</v>
      </c>
      <c r="V340">
        <f>Tabela2[[#This Row],[mass-flow-rate]]/2</f>
        <v>0.16657315</v>
      </c>
    </row>
    <row r="341" spans="11:22" x14ac:dyDescent="0.25">
      <c r="K341" t="s">
        <v>47</v>
      </c>
      <c r="L341" t="s">
        <v>213</v>
      </c>
      <c r="M341" t="s">
        <v>44</v>
      </c>
      <c r="R341">
        <v>165</v>
      </c>
    </row>
    <row r="342" spans="11:22" x14ac:dyDescent="0.25">
      <c r="M342" t="s">
        <v>45</v>
      </c>
      <c r="N342" t="s">
        <v>323</v>
      </c>
      <c r="O342" t="s">
        <v>46</v>
      </c>
      <c r="R342">
        <v>166</v>
      </c>
      <c r="S342">
        <v>4.5835000000000015E-2</v>
      </c>
      <c r="T342">
        <v>0.29474590000000001</v>
      </c>
      <c r="V342">
        <f>Tabela2[[#This Row],[mass-flow-rate]]/2</f>
        <v>0.14737295</v>
      </c>
    </row>
    <row r="343" spans="11:22" x14ac:dyDescent="0.25">
      <c r="K343" t="s">
        <v>47</v>
      </c>
      <c r="L343" t="s">
        <v>214</v>
      </c>
      <c r="M343" t="s">
        <v>44</v>
      </c>
      <c r="R343">
        <v>166</v>
      </c>
    </row>
    <row r="344" spans="11:22" x14ac:dyDescent="0.25">
      <c r="M344" t="s">
        <v>45</v>
      </c>
      <c r="N344" t="s">
        <v>324</v>
      </c>
      <c r="O344" t="s">
        <v>46</v>
      </c>
      <c r="R344">
        <v>167</v>
      </c>
      <c r="S344">
        <v>4.6112800000000009E-2</v>
      </c>
      <c r="T344">
        <v>0.25303740000000002</v>
      </c>
      <c r="V344">
        <f>Tabela2[[#This Row],[mass-flow-rate]]/2</f>
        <v>0.12651870000000001</v>
      </c>
    </row>
    <row r="345" spans="11:22" x14ac:dyDescent="0.25">
      <c r="K345" t="s">
        <v>47</v>
      </c>
      <c r="L345" t="s">
        <v>215</v>
      </c>
      <c r="M345" t="s">
        <v>44</v>
      </c>
      <c r="R345">
        <v>167</v>
      </c>
    </row>
    <row r="346" spans="11:22" x14ac:dyDescent="0.25">
      <c r="M346" t="s">
        <v>45</v>
      </c>
      <c r="N346" t="s">
        <v>325</v>
      </c>
      <c r="O346" t="s">
        <v>46</v>
      </c>
      <c r="R346">
        <v>168</v>
      </c>
      <c r="S346">
        <v>4.6390500000000001E-2</v>
      </c>
      <c r="T346">
        <v>0.20991219999999999</v>
      </c>
      <c r="V346">
        <f>Tabela2[[#This Row],[mass-flow-rate]]/2</f>
        <v>0.1049561</v>
      </c>
    </row>
    <row r="347" spans="11:22" x14ac:dyDescent="0.25">
      <c r="K347" t="s">
        <v>47</v>
      </c>
      <c r="L347" t="s">
        <v>216</v>
      </c>
      <c r="M347" t="s">
        <v>44</v>
      </c>
      <c r="R347">
        <v>168</v>
      </c>
    </row>
    <row r="348" spans="11:22" x14ac:dyDescent="0.25">
      <c r="M348" t="s">
        <v>45</v>
      </c>
      <c r="N348" t="s">
        <v>326</v>
      </c>
      <c r="O348" t="s">
        <v>46</v>
      </c>
      <c r="R348">
        <v>169</v>
      </c>
      <c r="S348">
        <v>4.6668299999999996E-2</v>
      </c>
      <c r="T348">
        <v>0.17171710000000001</v>
      </c>
      <c r="V348">
        <f>Tabela2[[#This Row],[mass-flow-rate]]/2</f>
        <v>8.5858550000000006E-2</v>
      </c>
    </row>
    <row r="349" spans="11:22" x14ac:dyDescent="0.25">
      <c r="K349" t="s">
        <v>47</v>
      </c>
      <c r="L349" t="s">
        <v>217</v>
      </c>
      <c r="M349" t="s">
        <v>44</v>
      </c>
      <c r="R349">
        <v>169</v>
      </c>
    </row>
    <row r="350" spans="11:22" x14ac:dyDescent="0.25">
      <c r="M350" t="s">
        <v>45</v>
      </c>
      <c r="N350" t="s">
        <v>327</v>
      </c>
      <c r="O350" t="s">
        <v>46</v>
      </c>
      <c r="R350">
        <v>170</v>
      </c>
      <c r="S350">
        <v>4.6946100000000046E-2</v>
      </c>
      <c r="T350">
        <v>0.1263813</v>
      </c>
      <c r="V350">
        <f>Tabela2[[#This Row],[mass-flow-rate]]/2</f>
        <v>6.3190650000000001E-2</v>
      </c>
    </row>
    <row r="351" spans="11:22" x14ac:dyDescent="0.25">
      <c r="K351" t="s">
        <v>47</v>
      </c>
      <c r="L351" t="s">
        <v>218</v>
      </c>
      <c r="M351" t="s">
        <v>44</v>
      </c>
      <c r="R351">
        <v>170</v>
      </c>
    </row>
    <row r="352" spans="11:22" x14ac:dyDescent="0.25">
      <c r="M352" t="s">
        <v>45</v>
      </c>
      <c r="N352" t="s">
        <v>328</v>
      </c>
      <c r="O352" t="s">
        <v>46</v>
      </c>
      <c r="R352">
        <v>171</v>
      </c>
      <c r="S352">
        <v>4.7223900000000041E-2</v>
      </c>
      <c r="T352">
        <v>7.3513490000000001E-2</v>
      </c>
      <c r="V352">
        <f>Tabela2[[#This Row],[mass-flow-rate]]/2</f>
        <v>3.6756745E-2</v>
      </c>
    </row>
    <row r="353" spans="11:22" x14ac:dyDescent="0.25">
      <c r="K353" t="s">
        <v>47</v>
      </c>
      <c r="L353" t="s">
        <v>219</v>
      </c>
      <c r="M353" t="s">
        <v>44</v>
      </c>
      <c r="R353">
        <v>171</v>
      </c>
    </row>
    <row r="354" spans="11:22" x14ac:dyDescent="0.25">
      <c r="M354" t="s">
        <v>45</v>
      </c>
      <c r="N354" t="s">
        <v>329</v>
      </c>
      <c r="O354" t="s">
        <v>46</v>
      </c>
      <c r="R354">
        <v>172</v>
      </c>
      <c r="S354">
        <v>4.7501700000000036E-2</v>
      </c>
      <c r="T354">
        <v>2.4631E-2</v>
      </c>
      <c r="V354">
        <f>Tabela2[[#This Row],[mass-flow-rate]]/2</f>
        <v>1.23155E-2</v>
      </c>
    </row>
    <row r="355" spans="11:22" x14ac:dyDescent="0.25">
      <c r="K355" t="s">
        <v>47</v>
      </c>
      <c r="L355" t="s">
        <v>220</v>
      </c>
      <c r="M355" t="s">
        <v>44</v>
      </c>
      <c r="R355">
        <v>172</v>
      </c>
    </row>
    <row r="356" spans="11:22" x14ac:dyDescent="0.25">
      <c r="M356" t="s">
        <v>45</v>
      </c>
      <c r="N356" t="s">
        <v>242</v>
      </c>
      <c r="O356" t="s">
        <v>46</v>
      </c>
      <c r="R356">
        <v>173</v>
      </c>
      <c r="S356">
        <v>4.777950000000003E-2</v>
      </c>
      <c r="T356">
        <v>-2.3870929999999999E-3</v>
      </c>
      <c r="V356">
        <f>Tabela2[[#This Row],[mass-flow-rate]]/2</f>
        <v>-1.1935464999999999E-3</v>
      </c>
    </row>
    <row r="357" spans="11:22" x14ac:dyDescent="0.25">
      <c r="K357" t="s">
        <v>47</v>
      </c>
      <c r="L357" t="s">
        <v>221</v>
      </c>
      <c r="M357" t="s">
        <v>44</v>
      </c>
      <c r="R357">
        <v>173</v>
      </c>
    </row>
    <row r="358" spans="11:22" x14ac:dyDescent="0.25">
      <c r="M358" t="s">
        <v>45</v>
      </c>
      <c r="N358" t="s">
        <v>242</v>
      </c>
      <c r="O358" t="s">
        <v>46</v>
      </c>
      <c r="R358">
        <v>174</v>
      </c>
      <c r="S358">
        <v>4.8057300000000025E-2</v>
      </c>
      <c r="T358">
        <v>-3.4007780000000001E-3</v>
      </c>
      <c r="V358">
        <f>Tabela2[[#This Row],[mass-flow-rate]]/2</f>
        <v>-1.7003890000000001E-3</v>
      </c>
    </row>
    <row r="359" spans="11:22" x14ac:dyDescent="0.25">
      <c r="K359" t="s">
        <v>47</v>
      </c>
      <c r="L359" t="s">
        <v>222</v>
      </c>
      <c r="M359" t="s">
        <v>44</v>
      </c>
      <c r="R359">
        <v>174</v>
      </c>
    </row>
    <row r="360" spans="11:22" x14ac:dyDescent="0.25">
      <c r="M360" t="s">
        <v>45</v>
      </c>
      <c r="N360" t="s">
        <v>242</v>
      </c>
      <c r="O360" t="s">
        <v>46</v>
      </c>
      <c r="R360">
        <v>175</v>
      </c>
      <c r="S360">
        <v>4.833510000000002E-2</v>
      </c>
      <c r="T360">
        <v>-2.814783E-3</v>
      </c>
      <c r="V360">
        <f>Tabela2[[#This Row],[mass-flow-rate]]/2</f>
        <v>-1.4073915E-3</v>
      </c>
    </row>
    <row r="361" spans="11:22" x14ac:dyDescent="0.25">
      <c r="K361" t="s">
        <v>47</v>
      </c>
      <c r="L361" t="s">
        <v>223</v>
      </c>
      <c r="M361" t="s">
        <v>44</v>
      </c>
      <c r="R361">
        <v>175</v>
      </c>
    </row>
    <row r="362" spans="11:22" x14ac:dyDescent="0.25">
      <c r="M362" t="s">
        <v>45</v>
      </c>
      <c r="N362" t="s">
        <v>242</v>
      </c>
      <c r="O362" t="s">
        <v>46</v>
      </c>
      <c r="R362">
        <v>176</v>
      </c>
      <c r="S362">
        <v>4.8612800000000012E-2</v>
      </c>
      <c r="T362">
        <v>-2.434093E-3</v>
      </c>
      <c r="V362">
        <f>Tabela2[[#This Row],[mass-flow-rate]]/2</f>
        <v>-1.2170465E-3</v>
      </c>
    </row>
    <row r="363" spans="11:22" x14ac:dyDescent="0.25">
      <c r="K363" t="s">
        <v>47</v>
      </c>
      <c r="L363" t="s">
        <v>224</v>
      </c>
      <c r="M363" t="s">
        <v>44</v>
      </c>
      <c r="R363">
        <v>176</v>
      </c>
    </row>
    <row r="364" spans="11:22" x14ac:dyDescent="0.25">
      <c r="M364" t="s">
        <v>45</v>
      </c>
      <c r="N364" t="s">
        <v>242</v>
      </c>
      <c r="O364" t="s">
        <v>46</v>
      </c>
      <c r="R364">
        <v>177</v>
      </c>
      <c r="S364">
        <v>4.8890600000000006E-2</v>
      </c>
      <c r="T364">
        <v>-2.3713720000000001E-3</v>
      </c>
      <c r="V364">
        <f>Tabela2[[#This Row],[mass-flow-rate]]/2</f>
        <v>-1.185686E-3</v>
      </c>
    </row>
    <row r="365" spans="11:22" x14ac:dyDescent="0.25">
      <c r="K365" t="s">
        <v>47</v>
      </c>
      <c r="L365" t="s">
        <v>225</v>
      </c>
      <c r="M365" t="s">
        <v>44</v>
      </c>
      <c r="R365">
        <v>177</v>
      </c>
    </row>
    <row r="366" spans="11:22" x14ac:dyDescent="0.25">
      <c r="M366" t="s">
        <v>45</v>
      </c>
      <c r="N366" t="s">
        <v>242</v>
      </c>
      <c r="O366" t="s">
        <v>46</v>
      </c>
      <c r="R366">
        <v>178</v>
      </c>
      <c r="S366">
        <v>4.9168400000000001E-2</v>
      </c>
      <c r="T366">
        <v>-1.6665149999999999E-3</v>
      </c>
      <c r="V366">
        <f>Tabela2[[#This Row],[mass-flow-rate]]/2</f>
        <v>-8.3325749999999996E-4</v>
      </c>
    </row>
    <row r="367" spans="11:22" x14ac:dyDescent="0.25">
      <c r="K367" t="s">
        <v>47</v>
      </c>
      <c r="L367" t="s">
        <v>226</v>
      </c>
      <c r="M367" t="s">
        <v>44</v>
      </c>
      <c r="R367">
        <v>178</v>
      </c>
    </row>
    <row r="368" spans="11:22" x14ac:dyDescent="0.25">
      <c r="M368" t="s">
        <v>45</v>
      </c>
      <c r="N368" t="s">
        <v>242</v>
      </c>
      <c r="O368" t="s">
        <v>46</v>
      </c>
      <c r="R368">
        <v>179</v>
      </c>
      <c r="S368">
        <v>4.9446199999999996E-2</v>
      </c>
      <c r="T368">
        <v>2.1218149999999999E-4</v>
      </c>
      <c r="V368">
        <f>Tabela2[[#This Row],[mass-flow-rate]]/2</f>
        <v>1.0609074999999999E-4</v>
      </c>
    </row>
    <row r="369" spans="11:22" x14ac:dyDescent="0.25">
      <c r="K369" t="s">
        <v>47</v>
      </c>
      <c r="L369" t="s">
        <v>227</v>
      </c>
      <c r="M369" t="s">
        <v>44</v>
      </c>
      <c r="R369">
        <v>179</v>
      </c>
    </row>
    <row r="370" spans="11:22" x14ac:dyDescent="0.25">
      <c r="M370" t="s">
        <v>45</v>
      </c>
      <c r="N370" t="s">
        <v>242</v>
      </c>
      <c r="O370" t="s">
        <v>46</v>
      </c>
      <c r="R370">
        <v>180</v>
      </c>
      <c r="S370">
        <v>4.9724000000000046E-2</v>
      </c>
      <c r="T370">
        <v>1.269271E-3</v>
      </c>
      <c r="V370">
        <f>Tabela2[[#This Row],[mass-flow-rate]]/2</f>
        <v>6.3463549999999999E-4</v>
      </c>
    </row>
    <row r="371" spans="11:22" x14ac:dyDescent="0.25">
      <c r="K371" t="s">
        <v>47</v>
      </c>
      <c r="L371" t="s">
        <v>228</v>
      </c>
      <c r="M371" t="s">
        <v>44</v>
      </c>
      <c r="R371">
        <v>180</v>
      </c>
    </row>
    <row r="372" spans="11:22" x14ac:dyDescent="0.25">
      <c r="M372" t="s">
        <v>45</v>
      </c>
      <c r="N372" t="s">
        <v>242</v>
      </c>
      <c r="O372" t="s">
        <v>46</v>
      </c>
      <c r="R372">
        <v>181</v>
      </c>
      <c r="S372">
        <v>5.0001800000000041E-2</v>
      </c>
      <c r="T372">
        <v>1.3516100000000001E-3</v>
      </c>
      <c r="V372">
        <f>Tabela2[[#This Row],[mass-flow-rate]]/2</f>
        <v>6.7580500000000003E-4</v>
      </c>
    </row>
    <row r="373" spans="11:22" x14ac:dyDescent="0.25">
      <c r="K373" t="s">
        <v>47</v>
      </c>
      <c r="L373" t="s">
        <v>229</v>
      </c>
      <c r="M373" t="s">
        <v>44</v>
      </c>
      <c r="R373">
        <v>181</v>
      </c>
    </row>
    <row r="374" spans="11:22" x14ac:dyDescent="0.25">
      <c r="M374" t="s">
        <v>45</v>
      </c>
      <c r="N374" t="s">
        <v>242</v>
      </c>
      <c r="O374" t="s">
        <v>46</v>
      </c>
      <c r="R374">
        <v>182</v>
      </c>
      <c r="S374">
        <v>5.0279600000000035E-2</v>
      </c>
      <c r="T374">
        <v>1.013199E-3</v>
      </c>
      <c r="V374">
        <f>Tabela2[[#This Row],[mass-flow-rate]]/2</f>
        <v>5.065995E-4</v>
      </c>
    </row>
    <row r="375" spans="11:22" x14ac:dyDescent="0.25">
      <c r="K375" t="s">
        <v>47</v>
      </c>
      <c r="L375" t="s">
        <v>230</v>
      </c>
      <c r="M375" t="s">
        <v>44</v>
      </c>
      <c r="R375">
        <v>182</v>
      </c>
    </row>
    <row r="376" spans="11:22" x14ac:dyDescent="0.25">
      <c r="M376" t="s">
        <v>45</v>
      </c>
      <c r="N376" t="s">
        <v>242</v>
      </c>
      <c r="O376" t="s">
        <v>46</v>
      </c>
      <c r="R376">
        <v>183</v>
      </c>
      <c r="S376">
        <v>5.055740000000003E-2</v>
      </c>
      <c r="T376">
        <v>7.4146900000000003E-4</v>
      </c>
      <c r="V376">
        <f>Tabela2[[#This Row],[mass-flow-rate]]/2</f>
        <v>3.7073450000000001E-4</v>
      </c>
    </row>
    <row r="377" spans="11:22" x14ac:dyDescent="0.25">
      <c r="K377" t="s">
        <v>47</v>
      </c>
      <c r="L377" t="s">
        <v>231</v>
      </c>
      <c r="M377" t="s">
        <v>44</v>
      </c>
      <c r="R377">
        <v>183</v>
      </c>
    </row>
    <row r="378" spans="11:22" x14ac:dyDescent="0.25">
      <c r="M378" t="s">
        <v>45</v>
      </c>
      <c r="N378" t="s">
        <v>242</v>
      </c>
      <c r="O378" t="s">
        <v>46</v>
      </c>
      <c r="R378">
        <v>184</v>
      </c>
      <c r="S378">
        <v>5.0835100000000022E-2</v>
      </c>
      <c r="T378">
        <v>5.7581139999999999E-4</v>
      </c>
      <c r="V378">
        <f>Tabela2[[#This Row],[mass-flow-rate]]/2</f>
        <v>2.879057E-4</v>
      </c>
    </row>
    <row r="379" spans="11:22" x14ac:dyDescent="0.25">
      <c r="K379" t="s">
        <v>47</v>
      </c>
      <c r="L379" t="s">
        <v>232</v>
      </c>
      <c r="M379" t="s">
        <v>44</v>
      </c>
      <c r="R379">
        <v>184</v>
      </c>
    </row>
    <row r="380" spans="11:22" x14ac:dyDescent="0.25">
      <c r="M380" t="s">
        <v>45</v>
      </c>
      <c r="N380" t="s">
        <v>242</v>
      </c>
      <c r="O380" t="s">
        <v>46</v>
      </c>
      <c r="R380">
        <v>185</v>
      </c>
      <c r="S380">
        <v>5.1112900000000017E-2</v>
      </c>
      <c r="T380">
        <v>4.6373390000000001E-4</v>
      </c>
      <c r="V380">
        <f>Tabela2[[#This Row],[mass-flow-rate]]/2</f>
        <v>2.3186695E-4</v>
      </c>
    </row>
    <row r="381" spans="11:22" x14ac:dyDescent="0.25">
      <c r="K381" t="s">
        <v>47</v>
      </c>
      <c r="L381" t="s">
        <v>233</v>
      </c>
      <c r="M381" t="s">
        <v>44</v>
      </c>
      <c r="R381">
        <v>185</v>
      </c>
    </row>
    <row r="382" spans="11:22" x14ac:dyDescent="0.25">
      <c r="M382" t="s">
        <v>45</v>
      </c>
      <c r="N382" t="s">
        <v>242</v>
      </c>
      <c r="O382" t="s">
        <v>46</v>
      </c>
      <c r="R382">
        <v>186</v>
      </c>
      <c r="S382">
        <v>5.1390700000000011E-2</v>
      </c>
      <c r="T382">
        <v>3.3843110000000002E-4</v>
      </c>
      <c r="V382">
        <f>Tabela2[[#This Row],[mass-flow-rate]]/2</f>
        <v>1.6921555000000001E-4</v>
      </c>
    </row>
    <row r="383" spans="11:22" x14ac:dyDescent="0.25">
      <c r="K383" t="s">
        <v>47</v>
      </c>
      <c r="L383" t="s">
        <v>234</v>
      </c>
      <c r="M383" t="s">
        <v>44</v>
      </c>
      <c r="R383">
        <v>186</v>
      </c>
    </row>
    <row r="384" spans="11:22" x14ac:dyDescent="0.25">
      <c r="M384" t="s">
        <v>45</v>
      </c>
      <c r="N384" t="s">
        <v>242</v>
      </c>
      <c r="O384" t="s">
        <v>46</v>
      </c>
      <c r="R384">
        <v>187</v>
      </c>
      <c r="S384">
        <v>5.1668500000000006E-2</v>
      </c>
      <c r="T384">
        <v>2.3407380000000001E-4</v>
      </c>
      <c r="V384">
        <f>Tabela2[[#This Row],[mass-flow-rate]]/2</f>
        <v>1.170369E-4</v>
      </c>
    </row>
    <row r="385" spans="10:22" x14ac:dyDescent="0.25">
      <c r="K385" t="s">
        <v>47</v>
      </c>
      <c r="L385" t="s">
        <v>235</v>
      </c>
      <c r="M385" t="s">
        <v>44</v>
      </c>
      <c r="R385">
        <v>187</v>
      </c>
    </row>
    <row r="386" spans="10:22" x14ac:dyDescent="0.25">
      <c r="M386" t="s">
        <v>45</v>
      </c>
      <c r="N386" t="s">
        <v>242</v>
      </c>
      <c r="O386" t="s">
        <v>46</v>
      </c>
      <c r="R386">
        <v>188</v>
      </c>
      <c r="S386">
        <v>5.1946300000000001E-2</v>
      </c>
      <c r="T386">
        <v>1.7284010000000001E-4</v>
      </c>
      <c r="V386">
        <f>Tabela2[[#This Row],[mass-flow-rate]]/2</f>
        <v>8.6420050000000006E-5</v>
      </c>
    </row>
    <row r="387" spans="10:22" x14ac:dyDescent="0.25">
      <c r="K387" t="s">
        <v>47</v>
      </c>
      <c r="L387" t="s">
        <v>236</v>
      </c>
      <c r="M387" t="s">
        <v>44</v>
      </c>
      <c r="R387">
        <v>188</v>
      </c>
    </row>
    <row r="388" spans="10:22" x14ac:dyDescent="0.25">
      <c r="M388" t="s">
        <v>45</v>
      </c>
      <c r="N388" t="s">
        <v>242</v>
      </c>
      <c r="O388" t="s">
        <v>46</v>
      </c>
      <c r="R388">
        <v>189</v>
      </c>
      <c r="S388">
        <v>5.2224099999999996E-2</v>
      </c>
      <c r="T388">
        <v>3.2249900000000002E-4</v>
      </c>
      <c r="V388">
        <f>Tabela2[[#This Row],[mass-flow-rate]]/2</f>
        <v>1.6124950000000001E-4</v>
      </c>
    </row>
    <row r="389" spans="10:22" x14ac:dyDescent="0.25">
      <c r="K389" t="s">
        <v>47</v>
      </c>
      <c r="L389" t="s">
        <v>237</v>
      </c>
      <c r="M389" t="s">
        <v>44</v>
      </c>
      <c r="R389">
        <v>189</v>
      </c>
    </row>
    <row r="390" spans="10:22" x14ac:dyDescent="0.25">
      <c r="M390" t="s">
        <v>45</v>
      </c>
      <c r="N390" t="s">
        <v>242</v>
      </c>
      <c r="O390" t="s">
        <v>46</v>
      </c>
      <c r="R390">
        <v>190</v>
      </c>
      <c r="S390">
        <v>5.2501900000000046E-2</v>
      </c>
      <c r="T390">
        <v>8.0147919999999997E-4</v>
      </c>
      <c r="V390">
        <f>Tabela2[[#This Row],[mass-flow-rate]]/2</f>
        <v>4.0073959999999999E-4</v>
      </c>
    </row>
    <row r="391" spans="10:22" x14ac:dyDescent="0.25">
      <c r="K391" t="s">
        <v>47</v>
      </c>
      <c r="L391" t="s">
        <v>238</v>
      </c>
      <c r="M391" t="s">
        <v>44</v>
      </c>
      <c r="R391">
        <v>190</v>
      </c>
    </row>
    <row r="392" spans="10:22" x14ac:dyDescent="0.25">
      <c r="M392" t="s">
        <v>45</v>
      </c>
      <c r="N392" t="s">
        <v>242</v>
      </c>
      <c r="O392" t="s">
        <v>46</v>
      </c>
      <c r="R392">
        <v>191</v>
      </c>
      <c r="S392">
        <v>5.277970000000004E-2</v>
      </c>
      <c r="T392">
        <v>1.7321369999999999E-3</v>
      </c>
      <c r="V392">
        <f>Tabela2[[#This Row],[mass-flow-rate]]/2</f>
        <v>8.6606849999999996E-4</v>
      </c>
    </row>
    <row r="393" spans="10:22" x14ac:dyDescent="0.25">
      <c r="K393" t="s">
        <v>47</v>
      </c>
      <c r="L393" t="s">
        <v>239</v>
      </c>
      <c r="M393" t="s">
        <v>44</v>
      </c>
      <c r="R393">
        <v>191</v>
      </c>
    </row>
    <row r="394" spans="10:22" x14ac:dyDescent="0.25">
      <c r="M394" t="s">
        <v>45</v>
      </c>
      <c r="N394" t="s">
        <v>242</v>
      </c>
      <c r="O394" t="s">
        <v>46</v>
      </c>
      <c r="R394">
        <v>192</v>
      </c>
      <c r="S394">
        <v>5.3057400000000032E-2</v>
      </c>
      <c r="T394">
        <v>2.1801839999999999E-3</v>
      </c>
      <c r="V394">
        <f>Tabela2[[#This Row],[mass-flow-rate]]/2</f>
        <v>1.090092E-3</v>
      </c>
    </row>
    <row r="395" spans="10:22" x14ac:dyDescent="0.25">
      <c r="K395" t="s">
        <v>47</v>
      </c>
      <c r="L395" t="s">
        <v>240</v>
      </c>
      <c r="M395" t="s">
        <v>44</v>
      </c>
      <c r="R395">
        <v>192</v>
      </c>
    </row>
    <row r="396" spans="10:22" x14ac:dyDescent="0.25">
      <c r="M396" t="s">
        <v>45</v>
      </c>
      <c r="N396" t="s">
        <v>242</v>
      </c>
      <c r="O396" t="s">
        <v>46</v>
      </c>
      <c r="R396">
        <v>193</v>
      </c>
      <c r="S396">
        <v>5.3335200000000027E-2</v>
      </c>
      <c r="T396">
        <v>2.0203410000000002E-3</v>
      </c>
      <c r="V396">
        <f>Tabela2[[#This Row],[mass-flow-rate]]/2</f>
        <v>1.0101705000000001E-3</v>
      </c>
    </row>
    <row r="397" spans="10:22" x14ac:dyDescent="0.25">
      <c r="K397" t="s">
        <v>47</v>
      </c>
      <c r="L397" t="s">
        <v>241</v>
      </c>
      <c r="M397" t="s">
        <v>44</v>
      </c>
      <c r="R397">
        <v>193</v>
      </c>
    </row>
    <row r="398" spans="10:22" x14ac:dyDescent="0.25">
      <c r="J398" s="11"/>
      <c r="M398" t="s">
        <v>45</v>
      </c>
      <c r="N398" t="s">
        <v>242</v>
      </c>
      <c r="O398" t="s">
        <v>46</v>
      </c>
      <c r="R398">
        <v>194</v>
      </c>
      <c r="S398">
        <v>5.3613000000000022E-2</v>
      </c>
      <c r="T398">
        <v>1.6218820000000001E-3</v>
      </c>
      <c r="V398">
        <f>Tabela2[[#This Row],[mass-flow-rate]]/2</f>
        <v>8.1094100000000003E-4</v>
      </c>
    </row>
    <row r="399" spans="10:22" x14ac:dyDescent="0.25">
      <c r="K399" t="str">
        <f>K397</f>
        <v>else if(flow_time &lt;=</v>
      </c>
      <c r="L399" t="str">
        <f t="shared" ref="L399:M399" si="100">L397</f>
        <v>0.0538908</v>
      </c>
      <c r="M399" t="str">
        <f t="shared" si="100"/>
        <v>)</v>
      </c>
      <c r="R399">
        <v>194</v>
      </c>
    </row>
    <row r="400" spans="10:22" x14ac:dyDescent="0.25">
      <c r="M400" t="str">
        <f t="shared" ref="M400" si="101">M398</f>
        <v xml:space="preserve">F_PROFILE(f,th,i) = </v>
      </c>
      <c r="N400" t="s">
        <v>243</v>
      </c>
      <c r="R400">
        <v>195</v>
      </c>
      <c r="S400">
        <v>5.3890800000000016E-2</v>
      </c>
      <c r="T400">
        <v>1.105838E-3</v>
      </c>
      <c r="V400">
        <f>Tabela2[[#This Row],[mass-flow-rate]]/2</f>
        <v>5.5291900000000002E-4</v>
      </c>
    </row>
    <row r="401" spans="11:22" x14ac:dyDescent="0.25">
      <c r="K401" t="str">
        <f t="shared" ref="K401:M401" si="102">K399</f>
        <v>else if(flow_time &lt;=</v>
      </c>
      <c r="L401" t="str">
        <f t="shared" si="102"/>
        <v>0.0538908</v>
      </c>
      <c r="M401" t="str">
        <f t="shared" si="102"/>
        <v>)</v>
      </c>
      <c r="R401">
        <v>195</v>
      </c>
    </row>
    <row r="402" spans="11:22" x14ac:dyDescent="0.25">
      <c r="M402" t="str">
        <f t="shared" ref="M402" si="103">M400</f>
        <v xml:space="preserve">F_PROFILE(f,th,i) = </v>
      </c>
      <c r="N402" t="s">
        <v>244</v>
      </c>
      <c r="S402">
        <f>$S$400+S14</f>
        <v>5.4168600000000011E-2</v>
      </c>
      <c r="V402">
        <f>Tabela2[[#Totals],[time]]/2</f>
        <v>2.7084300000000006E-2</v>
      </c>
    </row>
    <row r="403" spans="11:22" x14ac:dyDescent="0.25">
      <c r="K403" t="str">
        <f t="shared" ref="K403:M403" si="104">K401</f>
        <v>else if(flow_time &lt;=</v>
      </c>
      <c r="L403" t="str">
        <f t="shared" si="104"/>
        <v>0.0538908</v>
      </c>
      <c r="M403" t="str">
        <f t="shared" si="104"/>
        <v>)</v>
      </c>
    </row>
    <row r="404" spans="11:22" x14ac:dyDescent="0.25">
      <c r="M404" t="str">
        <f t="shared" ref="M404" si="105">M402</f>
        <v xml:space="preserve">F_PROFILE(f,th,i) = </v>
      </c>
      <c r="N404" t="s">
        <v>245</v>
      </c>
      <c r="S404">
        <f t="shared" ref="S404:S464" si="106">$S$400+S16</f>
        <v>5.4446400000000061E-2</v>
      </c>
      <c r="V404">
        <f>S404/2</f>
        <v>2.7223200000000031E-2</v>
      </c>
    </row>
    <row r="405" spans="11:22" x14ac:dyDescent="0.25">
      <c r="K405" t="str">
        <f t="shared" ref="K405:M405" si="107">K403</f>
        <v>else if(flow_time &lt;=</v>
      </c>
      <c r="L405" t="str">
        <f t="shared" si="107"/>
        <v>0.0538908</v>
      </c>
      <c r="M405" t="str">
        <f t="shared" si="107"/>
        <v>)</v>
      </c>
    </row>
    <row r="406" spans="11:22" x14ac:dyDescent="0.25">
      <c r="M406" t="str">
        <f t="shared" ref="M406" si="108">M404</f>
        <v xml:space="preserve">F_PROFILE(f,th,i) = </v>
      </c>
      <c r="N406" t="s">
        <v>246</v>
      </c>
      <c r="Q406">
        <f>S400+Tabela2[[#Totals],[time]]</f>
        <v>0.10805940000000003</v>
      </c>
      <c r="S406">
        <f t="shared" ref="S406" si="109">$S$400+S18</f>
        <v>5.4724200000000056E-2</v>
      </c>
      <c r="V406">
        <f t="shared" ref="V406" si="110">S406/2</f>
        <v>2.7362100000000028E-2</v>
      </c>
    </row>
    <row r="407" spans="11:22" x14ac:dyDescent="0.25">
      <c r="K407" t="str">
        <f t="shared" ref="K407:M407" si="111">K405</f>
        <v>else if(flow_time &lt;=</v>
      </c>
      <c r="L407" t="str">
        <f t="shared" si="111"/>
        <v>0.0538908</v>
      </c>
      <c r="M407" t="str">
        <f t="shared" si="111"/>
        <v>)</v>
      </c>
    </row>
    <row r="408" spans="11:22" x14ac:dyDescent="0.25">
      <c r="M408" t="str">
        <f t="shared" ref="M408" si="112">M406</f>
        <v xml:space="preserve">F_PROFILE(f,th,i) = </v>
      </c>
      <c r="N408" t="s">
        <v>247</v>
      </c>
      <c r="S408">
        <f t="shared" si="106"/>
        <v>5.5002000000000051E-2</v>
      </c>
      <c r="V408">
        <f t="shared" ref="V408" si="113">S408/2</f>
        <v>2.7501000000000025E-2</v>
      </c>
    </row>
    <row r="409" spans="11:22" x14ac:dyDescent="0.25">
      <c r="K409" t="str">
        <f t="shared" ref="K409:M409" si="114">K407</f>
        <v>else if(flow_time &lt;=</v>
      </c>
      <c r="L409" t="str">
        <f t="shared" si="114"/>
        <v>0.0538908</v>
      </c>
      <c r="M409" t="str">
        <f t="shared" si="114"/>
        <v>)</v>
      </c>
    </row>
    <row r="410" spans="11:22" x14ac:dyDescent="0.25">
      <c r="M410" t="str">
        <f t="shared" ref="M410" si="115">M408</f>
        <v xml:space="preserve">F_PROFILE(f,th,i) = </v>
      </c>
      <c r="N410" t="s">
        <v>248</v>
      </c>
      <c r="S410">
        <f t="shared" ref="S410" si="116">$S$400+S22</f>
        <v>5.5279800000000046E-2</v>
      </c>
      <c r="V410">
        <f t="shared" ref="V410" si="117">S410/2</f>
        <v>2.7639900000000023E-2</v>
      </c>
    </row>
    <row r="411" spans="11:22" x14ac:dyDescent="0.25">
      <c r="K411" t="str">
        <f t="shared" ref="K411:M411" si="118">K409</f>
        <v>else if(flow_time &lt;=</v>
      </c>
      <c r="L411" t="str">
        <f t="shared" si="118"/>
        <v>0.0538908</v>
      </c>
      <c r="M411" t="str">
        <f t="shared" si="118"/>
        <v>)</v>
      </c>
    </row>
    <row r="412" spans="11:22" x14ac:dyDescent="0.25">
      <c r="M412" t="str">
        <f t="shared" ref="M412" si="119">M410</f>
        <v xml:space="preserve">F_PROFILE(f,th,i) = </v>
      </c>
      <c r="N412" t="s">
        <v>249</v>
      </c>
      <c r="S412">
        <f t="shared" si="106"/>
        <v>5.555760000000004E-2</v>
      </c>
      <c r="V412">
        <f t="shared" ref="V412" si="120">S412/2</f>
        <v>2.777880000000002E-2</v>
      </c>
    </row>
    <row r="413" spans="11:22" x14ac:dyDescent="0.25">
      <c r="K413" t="str">
        <f t="shared" ref="K413:M413" si="121">K411</f>
        <v>else if(flow_time &lt;=</v>
      </c>
      <c r="L413" t="str">
        <f t="shared" si="121"/>
        <v>0.0538908</v>
      </c>
      <c r="M413" t="str">
        <f t="shared" si="121"/>
        <v>)</v>
      </c>
    </row>
    <row r="414" spans="11:22" x14ac:dyDescent="0.25">
      <c r="M414" t="str">
        <f t="shared" ref="M414" si="122">M412</f>
        <v xml:space="preserve">F_PROFILE(f,th,i) = </v>
      </c>
      <c r="N414" t="s">
        <v>250</v>
      </c>
      <c r="S414">
        <f t="shared" ref="S414" si="123">$S$400+S26</f>
        <v>5.5835400000000035E-2</v>
      </c>
      <c r="V414">
        <f t="shared" ref="V414" si="124">S414/2</f>
        <v>2.7917700000000018E-2</v>
      </c>
    </row>
    <row r="415" spans="11:22" x14ac:dyDescent="0.25">
      <c r="K415" t="str">
        <f t="shared" ref="K415:M415" si="125">K413</f>
        <v>else if(flow_time &lt;=</v>
      </c>
      <c r="L415" t="str">
        <f t="shared" si="125"/>
        <v>0.0538908</v>
      </c>
      <c r="M415" t="str">
        <f t="shared" si="125"/>
        <v>)</v>
      </c>
    </row>
    <row r="416" spans="11:22" x14ac:dyDescent="0.25">
      <c r="M416" t="str">
        <f t="shared" ref="M416" si="126">M414</f>
        <v xml:space="preserve">F_PROFILE(f,th,i) = </v>
      </c>
      <c r="N416" t="s">
        <v>251</v>
      </c>
      <c r="S416">
        <f t="shared" si="106"/>
        <v>5.6113100000000027E-2</v>
      </c>
      <c r="V416">
        <f t="shared" ref="V416" si="127">S416/2</f>
        <v>2.8056550000000013E-2</v>
      </c>
    </row>
    <row r="417" spans="11:22" x14ac:dyDescent="0.25">
      <c r="K417" t="str">
        <f t="shared" ref="K417:M417" si="128">K415</f>
        <v>else if(flow_time &lt;=</v>
      </c>
      <c r="L417" t="str">
        <f t="shared" si="128"/>
        <v>0.0538908</v>
      </c>
      <c r="M417" t="str">
        <f t="shared" si="128"/>
        <v>)</v>
      </c>
    </row>
    <row r="418" spans="11:22" x14ac:dyDescent="0.25">
      <c r="M418" t="str">
        <f t="shared" ref="M418" si="129">M416</f>
        <v xml:space="preserve">F_PROFILE(f,th,i) = </v>
      </c>
      <c r="N418" t="s">
        <v>252</v>
      </c>
      <c r="S418">
        <f t="shared" ref="S418" si="130">$S$400+S30</f>
        <v>5.6390900000000022E-2</v>
      </c>
      <c r="V418">
        <f t="shared" ref="V418" si="131">S418/2</f>
        <v>2.8195450000000011E-2</v>
      </c>
    </row>
    <row r="419" spans="11:22" x14ac:dyDescent="0.25">
      <c r="K419" t="str">
        <f t="shared" ref="K419:M419" si="132">K417</f>
        <v>else if(flow_time &lt;=</v>
      </c>
      <c r="L419" t="str">
        <f t="shared" si="132"/>
        <v>0.0538908</v>
      </c>
      <c r="M419" t="str">
        <f t="shared" si="132"/>
        <v>)</v>
      </c>
    </row>
    <row r="420" spans="11:22" x14ac:dyDescent="0.25">
      <c r="M420" t="str">
        <f t="shared" ref="M420" si="133">M418</f>
        <v xml:space="preserve">F_PROFILE(f,th,i) = </v>
      </c>
      <c r="N420" t="s">
        <v>253</v>
      </c>
      <c r="S420">
        <f t="shared" si="106"/>
        <v>5.6668700000000016E-2</v>
      </c>
      <c r="V420">
        <f t="shared" ref="V420" si="134">S420/2</f>
        <v>2.8334350000000008E-2</v>
      </c>
    </row>
    <row r="421" spans="11:22" x14ac:dyDescent="0.25">
      <c r="K421" t="str">
        <f t="shared" ref="K421:M421" si="135">K419</f>
        <v>else if(flow_time &lt;=</v>
      </c>
      <c r="L421" t="str">
        <f t="shared" si="135"/>
        <v>0.0538908</v>
      </c>
      <c r="M421" t="str">
        <f t="shared" si="135"/>
        <v>)</v>
      </c>
    </row>
    <row r="422" spans="11:22" x14ac:dyDescent="0.25">
      <c r="M422" t="str">
        <f t="shared" ref="M422" si="136">M420</f>
        <v xml:space="preserve">F_PROFILE(f,th,i) = </v>
      </c>
      <c r="N422" t="s">
        <v>254</v>
      </c>
      <c r="S422">
        <f t="shared" ref="S422" si="137">$S$400+S34</f>
        <v>5.6946500000000011E-2</v>
      </c>
      <c r="V422">
        <f t="shared" ref="V422" si="138">S422/2</f>
        <v>2.8473250000000005E-2</v>
      </c>
    </row>
    <row r="423" spans="11:22" x14ac:dyDescent="0.25">
      <c r="K423" t="str">
        <f t="shared" ref="K423:M423" si="139">K421</f>
        <v>else if(flow_time &lt;=</v>
      </c>
      <c r="L423" t="str">
        <f t="shared" si="139"/>
        <v>0.0538908</v>
      </c>
      <c r="M423" t="str">
        <f t="shared" si="139"/>
        <v>)</v>
      </c>
    </row>
    <row r="424" spans="11:22" x14ac:dyDescent="0.25">
      <c r="M424" t="str">
        <f t="shared" ref="M424" si="140">M422</f>
        <v xml:space="preserve">F_PROFILE(f,th,i) = </v>
      </c>
      <c r="N424" t="s">
        <v>255</v>
      </c>
      <c r="S424">
        <f t="shared" si="106"/>
        <v>5.7224300000000061E-2</v>
      </c>
      <c r="V424">
        <f t="shared" ref="V424" si="141">S424/2</f>
        <v>2.8612150000000031E-2</v>
      </c>
    </row>
    <row r="425" spans="11:22" x14ac:dyDescent="0.25">
      <c r="K425" t="str">
        <f t="shared" ref="K425:M425" si="142">K423</f>
        <v>else if(flow_time &lt;=</v>
      </c>
      <c r="L425" t="str">
        <f t="shared" si="142"/>
        <v>0.0538908</v>
      </c>
      <c r="M425" t="str">
        <f t="shared" si="142"/>
        <v>)</v>
      </c>
    </row>
    <row r="426" spans="11:22" x14ac:dyDescent="0.25">
      <c r="M426" t="str">
        <f t="shared" ref="M426" si="143">M424</f>
        <v xml:space="preserve">F_PROFILE(f,th,i) = </v>
      </c>
      <c r="N426" t="s">
        <v>256</v>
      </c>
      <c r="S426">
        <f t="shared" ref="S426" si="144">$S$400+S38</f>
        <v>5.7502100000000056E-2</v>
      </c>
      <c r="V426">
        <f t="shared" ref="V426" si="145">S426/2</f>
        <v>2.8751050000000028E-2</v>
      </c>
    </row>
    <row r="427" spans="11:22" x14ac:dyDescent="0.25">
      <c r="K427" t="str">
        <f t="shared" ref="K427:M427" si="146">K425</f>
        <v>else if(flow_time &lt;=</v>
      </c>
      <c r="L427" t="str">
        <f t="shared" si="146"/>
        <v>0.0538908</v>
      </c>
      <c r="M427" t="str">
        <f t="shared" si="146"/>
        <v>)</v>
      </c>
    </row>
    <row r="428" spans="11:22" x14ac:dyDescent="0.25">
      <c r="M428" t="str">
        <f t="shared" ref="M428" si="147">M426</f>
        <v xml:space="preserve">F_PROFILE(f,th,i) = </v>
      </c>
      <c r="N428" t="s">
        <v>257</v>
      </c>
      <c r="S428">
        <f t="shared" si="106"/>
        <v>5.7779900000000051E-2</v>
      </c>
      <c r="V428">
        <f t="shared" ref="V428" si="148">S428/2</f>
        <v>2.8889950000000025E-2</v>
      </c>
    </row>
    <row r="429" spans="11:22" x14ac:dyDescent="0.25">
      <c r="K429" t="str">
        <f t="shared" ref="K429:M429" si="149">K427</f>
        <v>else if(flow_time &lt;=</v>
      </c>
      <c r="L429" t="str">
        <f t="shared" si="149"/>
        <v>0.0538908</v>
      </c>
      <c r="M429" t="str">
        <f t="shared" si="149"/>
        <v>)</v>
      </c>
    </row>
    <row r="430" spans="11:22" x14ac:dyDescent="0.25">
      <c r="M430" t="str">
        <f t="shared" ref="M430" si="150">M428</f>
        <v xml:space="preserve">F_PROFILE(f,th,i) = </v>
      </c>
      <c r="N430" t="s">
        <v>258</v>
      </c>
      <c r="S430">
        <f t="shared" ref="S430" si="151">$S$400+S42</f>
        <v>5.8057700000000045E-2</v>
      </c>
      <c r="V430">
        <f t="shared" ref="V430" si="152">S430/2</f>
        <v>2.9028850000000023E-2</v>
      </c>
    </row>
    <row r="431" spans="11:22" x14ac:dyDescent="0.25">
      <c r="K431" t="str">
        <f t="shared" ref="K431:M431" si="153">K429</f>
        <v>else if(flow_time &lt;=</v>
      </c>
      <c r="L431" t="str">
        <f t="shared" si="153"/>
        <v>0.0538908</v>
      </c>
      <c r="M431" t="str">
        <f t="shared" si="153"/>
        <v>)</v>
      </c>
    </row>
    <row r="432" spans="11:22" x14ac:dyDescent="0.25">
      <c r="M432" t="str">
        <f t="shared" ref="M432" si="154">M430</f>
        <v xml:space="preserve">F_PROFILE(f,th,i) = </v>
      </c>
      <c r="N432" t="s">
        <v>259</v>
      </c>
      <c r="S432">
        <f t="shared" si="106"/>
        <v>5.8335400000000037E-2</v>
      </c>
      <c r="V432">
        <f t="shared" ref="V432" si="155">S432/2</f>
        <v>2.9167700000000019E-2</v>
      </c>
    </row>
    <row r="433" spans="11:22" x14ac:dyDescent="0.25">
      <c r="K433" t="str">
        <f t="shared" ref="K433:M433" si="156">K431</f>
        <v>else if(flow_time &lt;=</v>
      </c>
      <c r="L433" t="str">
        <f t="shared" si="156"/>
        <v>0.0538908</v>
      </c>
      <c r="M433" t="str">
        <f t="shared" si="156"/>
        <v>)</v>
      </c>
    </row>
    <row r="434" spans="11:22" x14ac:dyDescent="0.25">
      <c r="M434" t="str">
        <f t="shared" ref="M434" si="157">M432</f>
        <v xml:space="preserve">F_PROFILE(f,th,i) = </v>
      </c>
      <c r="N434" t="s">
        <v>260</v>
      </c>
      <c r="S434">
        <f t="shared" ref="S434" si="158">$S$400+S46</f>
        <v>5.8613200000000032E-2</v>
      </c>
      <c r="V434">
        <f t="shared" ref="V434" si="159">S434/2</f>
        <v>2.9306600000000016E-2</v>
      </c>
    </row>
    <row r="435" spans="11:22" x14ac:dyDescent="0.25">
      <c r="K435" t="str">
        <f t="shared" ref="K435:M435" si="160">K433</f>
        <v>else if(flow_time &lt;=</v>
      </c>
      <c r="L435" t="str">
        <f t="shared" si="160"/>
        <v>0.0538908</v>
      </c>
      <c r="M435" t="str">
        <f t="shared" si="160"/>
        <v>)</v>
      </c>
    </row>
    <row r="436" spans="11:22" x14ac:dyDescent="0.25">
      <c r="M436" t="str">
        <f t="shared" ref="M436" si="161">M434</f>
        <v xml:space="preserve">F_PROFILE(f,th,i) = </v>
      </c>
      <c r="N436" t="s">
        <v>261</v>
      </c>
      <c r="S436">
        <f t="shared" si="106"/>
        <v>5.8891000000000027E-2</v>
      </c>
      <c r="V436">
        <f t="shared" ref="V436" si="162">S436/2</f>
        <v>2.9445500000000013E-2</v>
      </c>
    </row>
    <row r="437" spans="11:22" x14ac:dyDescent="0.25">
      <c r="K437" t="str">
        <f t="shared" ref="K437:M437" si="163">K435</f>
        <v>else if(flow_time &lt;=</v>
      </c>
      <c r="L437" t="str">
        <f t="shared" si="163"/>
        <v>0.0538908</v>
      </c>
      <c r="M437" t="str">
        <f t="shared" si="163"/>
        <v>)</v>
      </c>
    </row>
    <row r="438" spans="11:22" x14ac:dyDescent="0.25">
      <c r="M438" t="str">
        <f t="shared" ref="M438" si="164">M436</f>
        <v xml:space="preserve">F_PROFILE(f,th,i) = </v>
      </c>
      <c r="N438" t="s">
        <v>262</v>
      </c>
      <c r="S438">
        <f t="shared" ref="S438" si="165">$S$400+S50</f>
        <v>5.9168800000000021E-2</v>
      </c>
      <c r="V438">
        <f t="shared" ref="V438" si="166">S438/2</f>
        <v>2.9584400000000011E-2</v>
      </c>
    </row>
    <row r="439" spans="11:22" x14ac:dyDescent="0.25">
      <c r="K439" t="str">
        <f t="shared" ref="K439:M439" si="167">K437</f>
        <v>else if(flow_time &lt;=</v>
      </c>
      <c r="L439" t="str">
        <f t="shared" si="167"/>
        <v>0.0538908</v>
      </c>
      <c r="M439" t="str">
        <f t="shared" si="167"/>
        <v>)</v>
      </c>
    </row>
    <row r="440" spans="11:22" x14ac:dyDescent="0.25">
      <c r="M440" t="str">
        <f t="shared" ref="M440" si="168">M438</f>
        <v xml:space="preserve">F_PROFILE(f,th,i) = </v>
      </c>
      <c r="N440" t="s">
        <v>263</v>
      </c>
      <c r="S440">
        <f t="shared" si="106"/>
        <v>5.9446600000000016E-2</v>
      </c>
      <c r="V440">
        <f t="shared" ref="V440" si="169">S440/2</f>
        <v>2.9723300000000008E-2</v>
      </c>
    </row>
    <row r="441" spans="11:22" x14ac:dyDescent="0.25">
      <c r="K441" t="str">
        <f t="shared" ref="K441:M441" si="170">K439</f>
        <v>else if(flow_time &lt;=</v>
      </c>
      <c r="L441" t="str">
        <f t="shared" si="170"/>
        <v>0.0538908</v>
      </c>
      <c r="M441" t="str">
        <f t="shared" si="170"/>
        <v>)</v>
      </c>
    </row>
    <row r="442" spans="11:22" x14ac:dyDescent="0.25">
      <c r="M442" t="str">
        <f t="shared" ref="M442" si="171">M440</f>
        <v xml:space="preserve">F_PROFILE(f,th,i) = </v>
      </c>
      <c r="N442" t="s">
        <v>264</v>
      </c>
      <c r="S442">
        <f t="shared" ref="S442" si="172">$S$400+S54</f>
        <v>5.9724400000000011E-2</v>
      </c>
      <c r="V442">
        <f t="shared" ref="V442" si="173">S442/2</f>
        <v>2.9862200000000005E-2</v>
      </c>
    </row>
    <row r="443" spans="11:22" x14ac:dyDescent="0.25">
      <c r="K443" t="str">
        <f t="shared" ref="K443:M443" si="174">K441</f>
        <v>else if(flow_time &lt;=</v>
      </c>
      <c r="L443" t="str">
        <f t="shared" si="174"/>
        <v>0.0538908</v>
      </c>
      <c r="M443" t="str">
        <f t="shared" si="174"/>
        <v>)</v>
      </c>
    </row>
    <row r="444" spans="11:22" x14ac:dyDescent="0.25">
      <c r="M444" t="str">
        <f t="shared" ref="M444" si="175">M442</f>
        <v xml:space="preserve">F_PROFILE(f,th,i) = </v>
      </c>
      <c r="N444" t="s">
        <v>265</v>
      </c>
      <c r="S444">
        <f t="shared" si="106"/>
        <v>6.0002200000000061E-2</v>
      </c>
      <c r="V444">
        <f t="shared" ref="V444" si="176">S444/2</f>
        <v>3.0001100000000031E-2</v>
      </c>
    </row>
    <row r="445" spans="11:22" x14ac:dyDescent="0.25">
      <c r="K445" t="str">
        <f t="shared" ref="K445:M445" si="177">K443</f>
        <v>else if(flow_time &lt;=</v>
      </c>
      <c r="L445" t="str">
        <f t="shared" si="177"/>
        <v>0.0538908</v>
      </c>
      <c r="M445" t="str">
        <f t="shared" si="177"/>
        <v>)</v>
      </c>
    </row>
    <row r="446" spans="11:22" x14ac:dyDescent="0.25">
      <c r="M446" t="str">
        <f t="shared" ref="M446" si="178">M444</f>
        <v xml:space="preserve">F_PROFILE(f,th,i) = </v>
      </c>
      <c r="N446" t="s">
        <v>266</v>
      </c>
      <c r="S446">
        <f t="shared" ref="S446" si="179">$S$400+S58</f>
        <v>6.0280000000000056E-2</v>
      </c>
      <c r="V446">
        <f t="shared" ref="V446" si="180">S446/2</f>
        <v>3.0140000000000028E-2</v>
      </c>
    </row>
    <row r="447" spans="11:22" x14ac:dyDescent="0.25">
      <c r="K447" t="str">
        <f t="shared" ref="K447:M447" si="181">K445</f>
        <v>else if(flow_time &lt;=</v>
      </c>
      <c r="L447" t="str">
        <f t="shared" si="181"/>
        <v>0.0538908</v>
      </c>
      <c r="M447" t="str">
        <f t="shared" si="181"/>
        <v>)</v>
      </c>
    </row>
    <row r="448" spans="11:22" x14ac:dyDescent="0.25">
      <c r="M448" t="str">
        <f t="shared" ref="M448" si="182">M446</f>
        <v xml:space="preserve">F_PROFILE(f,th,i) = </v>
      </c>
      <c r="N448" t="s">
        <v>267</v>
      </c>
      <c r="S448">
        <f t="shared" si="106"/>
        <v>6.0557700000000048E-2</v>
      </c>
      <c r="V448">
        <f t="shared" ref="V448" si="183">S448/2</f>
        <v>3.0278850000000024E-2</v>
      </c>
    </row>
    <row r="449" spans="11:22" x14ac:dyDescent="0.25">
      <c r="K449" t="str">
        <f t="shared" ref="K449:M449" si="184">K447</f>
        <v>else if(flow_time &lt;=</v>
      </c>
      <c r="L449" t="str">
        <f t="shared" si="184"/>
        <v>0.0538908</v>
      </c>
      <c r="M449" t="str">
        <f t="shared" si="184"/>
        <v>)</v>
      </c>
    </row>
    <row r="450" spans="11:22" x14ac:dyDescent="0.25">
      <c r="M450" t="str">
        <f t="shared" ref="M450" si="185">M448</f>
        <v xml:space="preserve">F_PROFILE(f,th,i) = </v>
      </c>
      <c r="N450" t="s">
        <v>268</v>
      </c>
      <c r="S450">
        <f t="shared" ref="S450" si="186">$S$400+S62</f>
        <v>6.0835500000000042E-2</v>
      </c>
      <c r="V450">
        <f t="shared" ref="V450" si="187">S450/2</f>
        <v>3.0417750000000021E-2</v>
      </c>
    </row>
    <row r="451" spans="11:22" x14ac:dyDescent="0.25">
      <c r="K451" t="str">
        <f t="shared" ref="K451:M451" si="188">K449</f>
        <v>else if(flow_time &lt;=</v>
      </c>
      <c r="L451" t="str">
        <f t="shared" si="188"/>
        <v>0.0538908</v>
      </c>
      <c r="M451" t="str">
        <f t="shared" si="188"/>
        <v>)</v>
      </c>
    </row>
    <row r="452" spans="11:22" x14ac:dyDescent="0.25">
      <c r="M452" t="str">
        <f t="shared" ref="M452" si="189">M450</f>
        <v xml:space="preserve">F_PROFILE(f,th,i) = </v>
      </c>
      <c r="N452" t="s">
        <v>269</v>
      </c>
      <c r="S452">
        <f t="shared" si="106"/>
        <v>6.1113300000000037E-2</v>
      </c>
      <c r="V452">
        <f t="shared" ref="V452" si="190">S452/2</f>
        <v>3.0556650000000019E-2</v>
      </c>
    </row>
    <row r="453" spans="11:22" x14ac:dyDescent="0.25">
      <c r="K453" t="str">
        <f t="shared" ref="K453:M453" si="191">K451</f>
        <v>else if(flow_time &lt;=</v>
      </c>
      <c r="L453" t="str">
        <f t="shared" si="191"/>
        <v>0.0538908</v>
      </c>
      <c r="M453" t="str">
        <f t="shared" si="191"/>
        <v>)</v>
      </c>
    </row>
    <row r="454" spans="11:22" x14ac:dyDescent="0.25">
      <c r="M454" t="str">
        <f t="shared" ref="M454" si="192">M452</f>
        <v xml:space="preserve">F_PROFILE(f,th,i) = </v>
      </c>
      <c r="N454" t="s">
        <v>270</v>
      </c>
      <c r="S454">
        <f t="shared" ref="S454" si="193">$S$400+S66</f>
        <v>6.1391100000000032E-2</v>
      </c>
      <c r="V454">
        <f t="shared" ref="V454" si="194">S454/2</f>
        <v>3.0695550000000016E-2</v>
      </c>
    </row>
    <row r="455" spans="11:22" x14ac:dyDescent="0.25">
      <c r="K455" t="str">
        <f t="shared" ref="K455:M455" si="195">K453</f>
        <v>else if(flow_time &lt;=</v>
      </c>
      <c r="L455" t="str">
        <f t="shared" si="195"/>
        <v>0.0538908</v>
      </c>
      <c r="M455" t="str">
        <f t="shared" si="195"/>
        <v>)</v>
      </c>
    </row>
    <row r="456" spans="11:22" x14ac:dyDescent="0.25">
      <c r="M456" t="str">
        <f t="shared" ref="M456" si="196">M454</f>
        <v xml:space="preserve">F_PROFILE(f,th,i) = </v>
      </c>
      <c r="N456" t="s">
        <v>242</v>
      </c>
      <c r="S456">
        <f t="shared" si="106"/>
        <v>6.1668900000000026E-2</v>
      </c>
      <c r="V456">
        <f t="shared" ref="V456" si="197">S456/2</f>
        <v>3.0834450000000013E-2</v>
      </c>
    </row>
    <row r="457" spans="11:22" x14ac:dyDescent="0.25">
      <c r="K457" t="str">
        <f t="shared" ref="K457:M457" si="198">K455</f>
        <v>else if(flow_time &lt;=</v>
      </c>
      <c r="L457" t="str">
        <f t="shared" si="198"/>
        <v>0.0538908</v>
      </c>
      <c r="M457" t="str">
        <f t="shared" si="198"/>
        <v>)</v>
      </c>
    </row>
    <row r="458" spans="11:22" x14ac:dyDescent="0.25">
      <c r="M458" t="str">
        <f t="shared" ref="M458" si="199">M456</f>
        <v xml:space="preserve">F_PROFILE(f,th,i) = </v>
      </c>
      <c r="N458" t="s">
        <v>242</v>
      </c>
      <c r="S458">
        <f t="shared" ref="S458" si="200">$S$400+S70</f>
        <v>6.1946700000000021E-2</v>
      </c>
      <c r="V458">
        <f t="shared" ref="V458" si="201">S458/2</f>
        <v>3.0973350000000011E-2</v>
      </c>
    </row>
    <row r="459" spans="11:22" x14ac:dyDescent="0.25">
      <c r="K459" t="str">
        <f t="shared" ref="K459:M459" si="202">K457</f>
        <v>else if(flow_time &lt;=</v>
      </c>
      <c r="L459" t="str">
        <f t="shared" si="202"/>
        <v>0.0538908</v>
      </c>
      <c r="M459" t="str">
        <f t="shared" si="202"/>
        <v>)</v>
      </c>
    </row>
    <row r="460" spans="11:22" x14ac:dyDescent="0.25">
      <c r="M460" t="str">
        <f t="shared" ref="M460" si="203">M458</f>
        <v xml:space="preserve">F_PROFILE(f,th,i) = </v>
      </c>
      <c r="N460" t="s">
        <v>242</v>
      </c>
      <c r="S460">
        <f t="shared" si="106"/>
        <v>6.2224500000000016E-2</v>
      </c>
      <c r="V460">
        <f t="shared" ref="V460" si="204">S460/2</f>
        <v>3.1112250000000008E-2</v>
      </c>
    </row>
    <row r="461" spans="11:22" x14ac:dyDescent="0.25">
      <c r="K461" t="str">
        <f t="shared" ref="K461:M461" si="205">K459</f>
        <v>else if(flow_time &lt;=</v>
      </c>
      <c r="L461" t="str">
        <f t="shared" si="205"/>
        <v>0.0538908</v>
      </c>
      <c r="M461" t="str">
        <f t="shared" si="205"/>
        <v>)</v>
      </c>
    </row>
    <row r="462" spans="11:22" x14ac:dyDescent="0.25">
      <c r="M462" t="str">
        <f t="shared" ref="M462" si="206">M460</f>
        <v xml:space="preserve">F_PROFILE(f,th,i) = </v>
      </c>
      <c r="N462" t="s">
        <v>242</v>
      </c>
      <c r="S462">
        <f t="shared" ref="S462" si="207">$S$400+S74</f>
        <v>6.2502300000000011E-2</v>
      </c>
      <c r="V462">
        <f t="shared" ref="V462" si="208">S462/2</f>
        <v>3.1251150000000005E-2</v>
      </c>
    </row>
    <row r="463" spans="11:22" x14ac:dyDescent="0.25">
      <c r="K463" t="str">
        <f t="shared" ref="K463:M463" si="209">K461</f>
        <v>else if(flow_time &lt;=</v>
      </c>
      <c r="L463" t="str">
        <f t="shared" si="209"/>
        <v>0.0538908</v>
      </c>
      <c r="M463" t="str">
        <f t="shared" si="209"/>
        <v>)</v>
      </c>
    </row>
    <row r="464" spans="11:22" x14ac:dyDescent="0.25">
      <c r="M464" t="str">
        <f t="shared" ref="M464" si="210">M462</f>
        <v xml:space="preserve">F_PROFILE(f,th,i) = </v>
      </c>
      <c r="N464" t="s">
        <v>242</v>
      </c>
      <c r="S464">
        <f t="shared" si="106"/>
        <v>6.2780000000000058E-2</v>
      </c>
      <c r="V464">
        <f t="shared" ref="V464" si="211">S464/2</f>
        <v>3.1390000000000029E-2</v>
      </c>
    </row>
    <row r="465" spans="11:22" x14ac:dyDescent="0.25">
      <c r="K465" t="str">
        <f t="shared" ref="K465:M465" si="212">K463</f>
        <v>else if(flow_time &lt;=</v>
      </c>
      <c r="L465" t="str">
        <f t="shared" si="212"/>
        <v>0.0538908</v>
      </c>
      <c r="M465" t="str">
        <f t="shared" si="212"/>
        <v>)</v>
      </c>
    </row>
    <row r="466" spans="11:22" x14ac:dyDescent="0.25">
      <c r="M466" t="str">
        <f t="shared" ref="M466" si="213">M464</f>
        <v xml:space="preserve">F_PROFILE(f,th,i) = </v>
      </c>
      <c r="N466" t="s">
        <v>242</v>
      </c>
      <c r="S466">
        <f t="shared" ref="S466" si="214">$S$400+S78</f>
        <v>6.3057800000000053E-2</v>
      </c>
      <c r="V466">
        <f t="shared" ref="V466" si="215">S466/2</f>
        <v>3.1528900000000026E-2</v>
      </c>
    </row>
    <row r="467" spans="11:22" x14ac:dyDescent="0.25">
      <c r="K467" t="str">
        <f t="shared" ref="K467:M467" si="216">K465</f>
        <v>else if(flow_time &lt;=</v>
      </c>
      <c r="L467" t="str">
        <f t="shared" si="216"/>
        <v>0.0538908</v>
      </c>
      <c r="M467" t="str">
        <f t="shared" si="216"/>
        <v>)</v>
      </c>
    </row>
    <row r="468" spans="11:22" x14ac:dyDescent="0.25">
      <c r="M468" t="str">
        <f t="shared" ref="M468" si="217">M466</f>
        <v xml:space="preserve">F_PROFILE(f,th,i) = </v>
      </c>
      <c r="N468" t="s">
        <v>242</v>
      </c>
      <c r="S468">
        <f t="shared" ref="S468:S528" si="218">$S$400+S80</f>
        <v>6.3335600000000047E-2</v>
      </c>
      <c r="V468">
        <f t="shared" ref="V468" si="219">S468/2</f>
        <v>3.1667800000000024E-2</v>
      </c>
    </row>
    <row r="469" spans="11:22" x14ac:dyDescent="0.25">
      <c r="K469" t="str">
        <f t="shared" ref="K469:M469" si="220">K467</f>
        <v>else if(flow_time &lt;=</v>
      </c>
      <c r="L469" t="str">
        <f t="shared" si="220"/>
        <v>0.0538908</v>
      </c>
      <c r="M469" t="str">
        <f t="shared" si="220"/>
        <v>)</v>
      </c>
    </row>
    <row r="470" spans="11:22" x14ac:dyDescent="0.25">
      <c r="M470" t="str">
        <f t="shared" ref="M470" si="221">M468</f>
        <v xml:space="preserve">F_PROFILE(f,th,i) = </v>
      </c>
      <c r="N470" t="s">
        <v>242</v>
      </c>
      <c r="S470">
        <f t="shared" ref="S470" si="222">$S$400+S82</f>
        <v>6.3613400000000042E-2</v>
      </c>
      <c r="V470">
        <f t="shared" ref="V470" si="223">S470/2</f>
        <v>3.1806700000000021E-2</v>
      </c>
    </row>
    <row r="471" spans="11:22" x14ac:dyDescent="0.25">
      <c r="K471" t="str">
        <f t="shared" ref="K471:M471" si="224">K469</f>
        <v>else if(flow_time &lt;=</v>
      </c>
      <c r="L471" t="str">
        <f t="shared" si="224"/>
        <v>0.0538908</v>
      </c>
      <c r="M471" t="str">
        <f t="shared" si="224"/>
        <v>)</v>
      </c>
    </row>
    <row r="472" spans="11:22" x14ac:dyDescent="0.25">
      <c r="M472" t="str">
        <f t="shared" ref="M472" si="225">M470</f>
        <v xml:space="preserve">F_PROFILE(f,th,i) = </v>
      </c>
      <c r="N472" t="s">
        <v>242</v>
      </c>
      <c r="S472">
        <f t="shared" si="218"/>
        <v>6.3891200000000037E-2</v>
      </c>
      <c r="V472">
        <f t="shared" ref="V472" si="226">S472/2</f>
        <v>3.1945600000000018E-2</v>
      </c>
    </row>
    <row r="473" spans="11:22" x14ac:dyDescent="0.25">
      <c r="K473" t="str">
        <f t="shared" ref="K473:M473" si="227">K471</f>
        <v>else if(flow_time &lt;=</v>
      </c>
      <c r="L473" t="str">
        <f t="shared" si="227"/>
        <v>0.0538908</v>
      </c>
      <c r="M473" t="str">
        <f t="shared" si="227"/>
        <v>)</v>
      </c>
    </row>
    <row r="474" spans="11:22" x14ac:dyDescent="0.25">
      <c r="M474" t="str">
        <f t="shared" ref="M474" si="228">M472</f>
        <v xml:space="preserve">F_PROFILE(f,th,i) = </v>
      </c>
      <c r="N474" t="s">
        <v>242</v>
      </c>
      <c r="S474">
        <f t="shared" ref="S474" si="229">$S$400+S86</f>
        <v>6.4169000000000032E-2</v>
      </c>
      <c r="V474">
        <f t="shared" ref="V474" si="230">S474/2</f>
        <v>3.2084500000000016E-2</v>
      </c>
    </row>
    <row r="475" spans="11:22" x14ac:dyDescent="0.25">
      <c r="K475" t="str">
        <f t="shared" ref="K475:M475" si="231">K473</f>
        <v>else if(flow_time &lt;=</v>
      </c>
      <c r="L475" t="str">
        <f t="shared" si="231"/>
        <v>0.0538908</v>
      </c>
      <c r="M475" t="str">
        <f t="shared" si="231"/>
        <v>)</v>
      </c>
    </row>
    <row r="476" spans="11:22" x14ac:dyDescent="0.25">
      <c r="M476" t="str">
        <f t="shared" ref="M476" si="232">M474</f>
        <v xml:space="preserve">F_PROFILE(f,th,i) = </v>
      </c>
      <c r="N476" t="s">
        <v>242</v>
      </c>
      <c r="S476">
        <f t="shared" si="218"/>
        <v>6.4446800000000026E-2</v>
      </c>
      <c r="V476">
        <f t="shared" ref="V476" si="233">S476/2</f>
        <v>3.2223400000000013E-2</v>
      </c>
    </row>
    <row r="477" spans="11:22" x14ac:dyDescent="0.25">
      <c r="K477" t="str">
        <f t="shared" ref="K477:M477" si="234">K475</f>
        <v>else if(flow_time &lt;=</v>
      </c>
      <c r="L477" t="str">
        <f t="shared" si="234"/>
        <v>0.0538908</v>
      </c>
      <c r="M477" t="str">
        <f t="shared" si="234"/>
        <v>)</v>
      </c>
    </row>
    <row r="478" spans="11:22" x14ac:dyDescent="0.25">
      <c r="M478" t="str">
        <f t="shared" ref="M478" si="235">M476</f>
        <v xml:space="preserve">F_PROFILE(f,th,i) = </v>
      </c>
      <c r="N478" t="s">
        <v>242</v>
      </c>
      <c r="S478">
        <f t="shared" ref="S478" si="236">$S$400+S90</f>
        <v>6.4724600000000021E-2</v>
      </c>
      <c r="V478">
        <f t="shared" ref="V478" si="237">S478/2</f>
        <v>3.2362300000000011E-2</v>
      </c>
    </row>
    <row r="479" spans="11:22" x14ac:dyDescent="0.25">
      <c r="K479" t="str">
        <f t="shared" ref="K479:M479" si="238">K477</f>
        <v>else if(flow_time &lt;=</v>
      </c>
      <c r="L479" t="str">
        <f t="shared" si="238"/>
        <v>0.0538908</v>
      </c>
      <c r="M479" t="str">
        <f t="shared" si="238"/>
        <v>)</v>
      </c>
    </row>
    <row r="480" spans="11:22" x14ac:dyDescent="0.25">
      <c r="M480" t="str">
        <f t="shared" ref="M480" si="239">M478</f>
        <v xml:space="preserve">F_PROFILE(f,th,i) = </v>
      </c>
      <c r="N480" t="s">
        <v>242</v>
      </c>
      <c r="S480">
        <f t="shared" si="218"/>
        <v>6.5002300000000013E-2</v>
      </c>
      <c r="V480">
        <f t="shared" ref="V480" si="240">S480/2</f>
        <v>3.2501150000000006E-2</v>
      </c>
    </row>
    <row r="481" spans="11:22" x14ac:dyDescent="0.25">
      <c r="K481" t="str">
        <f t="shared" ref="K481:M481" si="241">K479</f>
        <v>else if(flow_time &lt;=</v>
      </c>
      <c r="L481" t="str">
        <f t="shared" si="241"/>
        <v>0.0538908</v>
      </c>
      <c r="M481" t="str">
        <f t="shared" si="241"/>
        <v>)</v>
      </c>
    </row>
    <row r="482" spans="11:22" x14ac:dyDescent="0.25">
      <c r="M482" t="str">
        <f t="shared" ref="M482" si="242">M480</f>
        <v xml:space="preserve">F_PROFILE(f,th,i) = </v>
      </c>
      <c r="N482" t="s">
        <v>242</v>
      </c>
      <c r="S482">
        <f t="shared" ref="S482" si="243">$S$400+S94</f>
        <v>6.5280100000000063E-2</v>
      </c>
      <c r="V482">
        <f t="shared" ref="V482" si="244">S482/2</f>
        <v>3.2640050000000032E-2</v>
      </c>
    </row>
    <row r="483" spans="11:22" x14ac:dyDescent="0.25">
      <c r="K483" t="str">
        <f t="shared" ref="K483:M483" si="245">K481</f>
        <v>else if(flow_time &lt;=</v>
      </c>
      <c r="L483" t="str">
        <f t="shared" si="245"/>
        <v>0.0538908</v>
      </c>
      <c r="M483" t="str">
        <f t="shared" si="245"/>
        <v>)</v>
      </c>
    </row>
    <row r="484" spans="11:22" x14ac:dyDescent="0.25">
      <c r="M484" t="str">
        <f t="shared" ref="M484" si="246">M482</f>
        <v xml:space="preserve">F_PROFILE(f,th,i) = </v>
      </c>
      <c r="N484" t="s">
        <v>242</v>
      </c>
      <c r="S484">
        <f t="shared" si="218"/>
        <v>6.5557900000000058E-2</v>
      </c>
      <c r="V484">
        <f t="shared" ref="V484" si="247">S484/2</f>
        <v>3.2778950000000029E-2</v>
      </c>
    </row>
    <row r="485" spans="11:22" x14ac:dyDescent="0.25">
      <c r="K485" t="str">
        <f t="shared" ref="K485:M485" si="248">K483</f>
        <v>else if(flow_time &lt;=</v>
      </c>
      <c r="L485" t="str">
        <f t="shared" si="248"/>
        <v>0.0538908</v>
      </c>
      <c r="M485" t="str">
        <f t="shared" si="248"/>
        <v>)</v>
      </c>
    </row>
    <row r="486" spans="11:22" x14ac:dyDescent="0.25">
      <c r="M486" t="str">
        <f t="shared" ref="M486" si="249">M484</f>
        <v xml:space="preserve">F_PROFILE(f,th,i) = </v>
      </c>
      <c r="N486" t="s">
        <v>242</v>
      </c>
      <c r="S486">
        <f t="shared" ref="S486" si="250">$S$400+S98</f>
        <v>6.5835700000000053E-2</v>
      </c>
      <c r="V486">
        <f t="shared" ref="V486" si="251">S486/2</f>
        <v>3.2917850000000026E-2</v>
      </c>
    </row>
    <row r="487" spans="11:22" x14ac:dyDescent="0.25">
      <c r="K487" t="str">
        <f t="shared" ref="K487:M487" si="252">K485</f>
        <v>else if(flow_time &lt;=</v>
      </c>
      <c r="L487" t="str">
        <f t="shared" si="252"/>
        <v>0.0538908</v>
      </c>
      <c r="M487" t="str">
        <f t="shared" si="252"/>
        <v>)</v>
      </c>
    </row>
    <row r="488" spans="11:22" x14ac:dyDescent="0.25">
      <c r="M488" t="str">
        <f t="shared" ref="M488" si="253">M486</f>
        <v xml:space="preserve">F_PROFILE(f,th,i) = </v>
      </c>
      <c r="N488" t="s">
        <v>242</v>
      </c>
      <c r="S488">
        <f t="shared" si="218"/>
        <v>6.6113500000000047E-2</v>
      </c>
      <c r="V488">
        <f t="shared" ref="V488" si="254">S488/2</f>
        <v>3.3056750000000024E-2</v>
      </c>
    </row>
    <row r="489" spans="11:22" x14ac:dyDescent="0.25">
      <c r="K489" t="str">
        <f t="shared" ref="K489:M489" si="255">K487</f>
        <v>else if(flow_time &lt;=</v>
      </c>
      <c r="L489" t="str">
        <f t="shared" si="255"/>
        <v>0.0538908</v>
      </c>
      <c r="M489" t="str">
        <f t="shared" si="255"/>
        <v>)</v>
      </c>
    </row>
    <row r="490" spans="11:22" x14ac:dyDescent="0.25">
      <c r="M490" t="str">
        <f t="shared" ref="M490" si="256">M488</f>
        <v xml:space="preserve">F_PROFILE(f,th,i) = </v>
      </c>
      <c r="N490" t="s">
        <v>242</v>
      </c>
      <c r="S490">
        <f t="shared" ref="S490" si="257">$S$400+S102</f>
        <v>6.6391300000000042E-2</v>
      </c>
      <c r="V490">
        <f t="shared" ref="V490" si="258">S490/2</f>
        <v>3.3195650000000021E-2</v>
      </c>
    </row>
    <row r="491" spans="11:22" x14ac:dyDescent="0.25">
      <c r="K491" t="str">
        <f t="shared" ref="K491:M491" si="259">K489</f>
        <v>else if(flow_time &lt;=</v>
      </c>
      <c r="L491" t="str">
        <f t="shared" si="259"/>
        <v>0.0538908</v>
      </c>
      <c r="M491" t="str">
        <f t="shared" si="259"/>
        <v>)</v>
      </c>
    </row>
    <row r="492" spans="11:22" x14ac:dyDescent="0.25">
      <c r="M492" t="str">
        <f t="shared" ref="M492" si="260">M490</f>
        <v xml:space="preserve">F_PROFILE(f,th,i) = </v>
      </c>
      <c r="N492" t="s">
        <v>242</v>
      </c>
      <c r="S492">
        <f t="shared" si="218"/>
        <v>6.6669100000000037E-2</v>
      </c>
      <c r="V492">
        <f t="shared" ref="V492" si="261">S492/2</f>
        <v>3.3334550000000018E-2</v>
      </c>
    </row>
    <row r="493" spans="11:22" x14ac:dyDescent="0.25">
      <c r="K493" t="str">
        <f t="shared" ref="K493:M493" si="262">K491</f>
        <v>else if(flow_time &lt;=</v>
      </c>
      <c r="L493" t="str">
        <f t="shared" si="262"/>
        <v>0.0538908</v>
      </c>
      <c r="M493" t="str">
        <f t="shared" si="262"/>
        <v>)</v>
      </c>
    </row>
    <row r="494" spans="11:22" x14ac:dyDescent="0.25">
      <c r="M494" t="str">
        <f t="shared" ref="M494" si="263">M492</f>
        <v xml:space="preserve">F_PROFILE(f,th,i) = </v>
      </c>
      <c r="N494" t="s">
        <v>242</v>
      </c>
      <c r="S494">
        <f t="shared" ref="S494" si="264">$S$400+S106</f>
        <v>6.6946900000000031E-2</v>
      </c>
      <c r="V494">
        <f t="shared" ref="V494" si="265">S494/2</f>
        <v>3.3473450000000016E-2</v>
      </c>
    </row>
    <row r="495" spans="11:22" x14ac:dyDescent="0.25">
      <c r="K495" t="str">
        <f t="shared" ref="K495:M495" si="266">K493</f>
        <v>else if(flow_time &lt;=</v>
      </c>
      <c r="L495" t="str">
        <f t="shared" si="266"/>
        <v>0.0538908</v>
      </c>
      <c r="M495" t="str">
        <f t="shared" si="266"/>
        <v>)</v>
      </c>
    </row>
    <row r="496" spans="11:22" x14ac:dyDescent="0.25">
      <c r="M496" t="str">
        <f t="shared" ref="M496" si="267">M494</f>
        <v xml:space="preserve">F_PROFILE(f,th,i) = </v>
      </c>
      <c r="N496" t="s">
        <v>242</v>
      </c>
      <c r="S496">
        <f t="shared" si="218"/>
        <v>6.7224600000000023E-2</v>
      </c>
      <c r="V496">
        <f t="shared" ref="V496" si="268">S496/2</f>
        <v>3.3612300000000012E-2</v>
      </c>
    </row>
    <row r="497" spans="11:22" x14ac:dyDescent="0.25">
      <c r="K497" t="str">
        <f t="shared" ref="K497:M497" si="269">K495</f>
        <v>else if(flow_time &lt;=</v>
      </c>
      <c r="L497" t="str">
        <f t="shared" si="269"/>
        <v>0.0538908</v>
      </c>
      <c r="M497" t="str">
        <f t="shared" si="269"/>
        <v>)</v>
      </c>
    </row>
    <row r="498" spans="11:22" x14ac:dyDescent="0.25">
      <c r="M498" t="str">
        <f t="shared" ref="M498" si="270">M496</f>
        <v xml:space="preserve">F_PROFILE(f,th,i) = </v>
      </c>
      <c r="N498" t="s">
        <v>242</v>
      </c>
      <c r="S498">
        <f t="shared" ref="S498" si="271">$S$400+S110</f>
        <v>6.7502400000000018E-2</v>
      </c>
      <c r="V498">
        <f t="shared" ref="V498" si="272">S498/2</f>
        <v>3.3751200000000009E-2</v>
      </c>
    </row>
    <row r="499" spans="11:22" x14ac:dyDescent="0.25">
      <c r="K499" t="str">
        <f t="shared" ref="K499:M499" si="273">K497</f>
        <v>else if(flow_time &lt;=</v>
      </c>
      <c r="L499" t="str">
        <f t="shared" si="273"/>
        <v>0.0538908</v>
      </c>
      <c r="M499" t="str">
        <f t="shared" si="273"/>
        <v>)</v>
      </c>
    </row>
    <row r="500" spans="11:22" x14ac:dyDescent="0.25">
      <c r="M500" t="str">
        <f t="shared" ref="M500" si="274">M498</f>
        <v xml:space="preserve">F_PROFILE(f,th,i) = </v>
      </c>
      <c r="N500" t="s">
        <v>242</v>
      </c>
      <c r="S500">
        <f t="shared" si="218"/>
        <v>6.7780200000000013E-2</v>
      </c>
      <c r="V500">
        <f t="shared" ref="V500" si="275">S500/2</f>
        <v>3.3890100000000006E-2</v>
      </c>
    </row>
    <row r="501" spans="11:22" x14ac:dyDescent="0.25">
      <c r="K501" t="str">
        <f t="shared" ref="K501:M501" si="276">K499</f>
        <v>else if(flow_time &lt;=</v>
      </c>
      <c r="L501" t="str">
        <f t="shared" si="276"/>
        <v>0.0538908</v>
      </c>
      <c r="M501" t="str">
        <f t="shared" si="276"/>
        <v>)</v>
      </c>
    </row>
    <row r="502" spans="11:22" x14ac:dyDescent="0.25">
      <c r="M502" t="str">
        <f t="shared" ref="M502" si="277">M500</f>
        <v xml:space="preserve">F_PROFILE(f,th,i) = </v>
      </c>
      <c r="N502" t="s">
        <v>242</v>
      </c>
      <c r="S502">
        <f t="shared" ref="S502" si="278">$S$400+S114</f>
        <v>6.8058000000000063E-2</v>
      </c>
      <c r="V502">
        <f t="shared" ref="V502" si="279">S502/2</f>
        <v>3.4029000000000031E-2</v>
      </c>
    </row>
    <row r="503" spans="11:22" x14ac:dyDescent="0.25">
      <c r="K503" t="str">
        <f t="shared" ref="K503:M503" si="280">K501</f>
        <v>else if(flow_time &lt;=</v>
      </c>
      <c r="L503" t="str">
        <f t="shared" si="280"/>
        <v>0.0538908</v>
      </c>
      <c r="M503" t="str">
        <f t="shared" si="280"/>
        <v>)</v>
      </c>
    </row>
    <row r="504" spans="11:22" x14ac:dyDescent="0.25">
      <c r="M504" t="str">
        <f t="shared" ref="M504" si="281">M502</f>
        <v xml:space="preserve">F_PROFILE(f,th,i) = </v>
      </c>
      <c r="N504" t="s">
        <v>242</v>
      </c>
      <c r="S504">
        <f t="shared" si="218"/>
        <v>6.8335800000000058E-2</v>
      </c>
      <c r="V504">
        <f t="shared" ref="V504" si="282">S504/2</f>
        <v>3.4167900000000029E-2</v>
      </c>
    </row>
    <row r="505" spans="11:22" x14ac:dyDescent="0.25">
      <c r="K505" t="str">
        <f t="shared" ref="K505:M505" si="283">K503</f>
        <v>else if(flow_time &lt;=</v>
      </c>
      <c r="L505" t="str">
        <f t="shared" si="283"/>
        <v>0.0538908</v>
      </c>
      <c r="M505" t="str">
        <f t="shared" si="283"/>
        <v>)</v>
      </c>
    </row>
    <row r="506" spans="11:22" x14ac:dyDescent="0.25">
      <c r="M506" t="str">
        <f t="shared" ref="M506" si="284">M504</f>
        <v xml:space="preserve">F_PROFILE(f,th,i) = </v>
      </c>
      <c r="N506" t="s">
        <v>242</v>
      </c>
      <c r="S506">
        <f t="shared" ref="S506" si="285">$S$400+S118</f>
        <v>6.8613600000000052E-2</v>
      </c>
      <c r="V506">
        <f t="shared" ref="V506" si="286">S506/2</f>
        <v>3.4306800000000026E-2</v>
      </c>
    </row>
    <row r="507" spans="11:22" x14ac:dyDescent="0.25">
      <c r="K507" t="str">
        <f t="shared" ref="K507:M507" si="287">K505</f>
        <v>else if(flow_time &lt;=</v>
      </c>
      <c r="L507" t="str">
        <f t="shared" si="287"/>
        <v>0.0538908</v>
      </c>
      <c r="M507" t="str">
        <f t="shared" si="287"/>
        <v>)</v>
      </c>
    </row>
    <row r="508" spans="11:22" x14ac:dyDescent="0.25">
      <c r="M508" t="str">
        <f t="shared" ref="M508" si="288">M506</f>
        <v xml:space="preserve">F_PROFILE(f,th,i) = </v>
      </c>
      <c r="N508" t="s">
        <v>242</v>
      </c>
      <c r="S508">
        <f t="shared" si="218"/>
        <v>6.8891400000000047E-2</v>
      </c>
      <c r="V508">
        <f t="shared" ref="V508" si="289">S508/2</f>
        <v>3.4445700000000024E-2</v>
      </c>
    </row>
    <row r="509" spans="11:22" x14ac:dyDescent="0.25">
      <c r="K509" t="str">
        <f t="shared" ref="K509:M509" si="290">K507</f>
        <v>else if(flow_time &lt;=</v>
      </c>
      <c r="L509" t="str">
        <f t="shared" si="290"/>
        <v>0.0538908</v>
      </c>
      <c r="M509" t="str">
        <f t="shared" si="290"/>
        <v>)</v>
      </c>
    </row>
    <row r="510" spans="11:22" x14ac:dyDescent="0.25">
      <c r="M510" t="str">
        <f t="shared" ref="M510" si="291">M508</f>
        <v xml:space="preserve">F_PROFILE(f,th,i) = </v>
      </c>
      <c r="N510" t="s">
        <v>242</v>
      </c>
      <c r="S510">
        <f t="shared" ref="S510" si="292">$S$400+S122</f>
        <v>6.9169200000000042E-2</v>
      </c>
      <c r="V510">
        <f t="shared" ref="V510" si="293">S510/2</f>
        <v>3.4584600000000021E-2</v>
      </c>
    </row>
    <row r="511" spans="11:22" x14ac:dyDescent="0.25">
      <c r="K511" t="str">
        <f t="shared" ref="K511:M511" si="294">K509</f>
        <v>else if(flow_time &lt;=</v>
      </c>
      <c r="L511" t="str">
        <f t="shared" si="294"/>
        <v>0.0538908</v>
      </c>
      <c r="M511" t="str">
        <f t="shared" si="294"/>
        <v>)</v>
      </c>
    </row>
    <row r="512" spans="11:22" x14ac:dyDescent="0.25">
      <c r="M512" t="str">
        <f t="shared" ref="M512" si="295">M510</f>
        <v xml:space="preserve">F_PROFILE(f,th,i) = </v>
      </c>
      <c r="N512" t="s">
        <v>242</v>
      </c>
      <c r="S512">
        <f t="shared" si="218"/>
        <v>6.9446900000000034E-2</v>
      </c>
      <c r="V512">
        <f t="shared" ref="V512" si="296">S512/2</f>
        <v>3.4723450000000017E-2</v>
      </c>
    </row>
    <row r="513" spans="11:22" x14ac:dyDescent="0.25">
      <c r="K513" t="str">
        <f t="shared" ref="K513:M513" si="297">K511</f>
        <v>else if(flow_time &lt;=</v>
      </c>
      <c r="L513" t="str">
        <f t="shared" si="297"/>
        <v>0.0538908</v>
      </c>
      <c r="M513" t="str">
        <f t="shared" si="297"/>
        <v>)</v>
      </c>
    </row>
    <row r="514" spans="11:22" x14ac:dyDescent="0.25">
      <c r="M514" t="str">
        <f t="shared" ref="M514" si="298">M512</f>
        <v xml:space="preserve">F_PROFILE(f,th,i) = </v>
      </c>
      <c r="N514" t="s">
        <v>242</v>
      </c>
      <c r="S514">
        <f t="shared" ref="S514" si="299">$S$400+S126</f>
        <v>6.9724700000000028E-2</v>
      </c>
      <c r="V514">
        <f t="shared" ref="V514" si="300">S514/2</f>
        <v>3.4862350000000014E-2</v>
      </c>
    </row>
    <row r="515" spans="11:22" x14ac:dyDescent="0.25">
      <c r="K515" t="str">
        <f t="shared" ref="K515:M515" si="301">K513</f>
        <v>else if(flow_time &lt;=</v>
      </c>
      <c r="L515" t="str">
        <f t="shared" si="301"/>
        <v>0.0538908</v>
      </c>
      <c r="M515" t="str">
        <f t="shared" si="301"/>
        <v>)</v>
      </c>
    </row>
    <row r="516" spans="11:22" x14ac:dyDescent="0.25">
      <c r="M516" t="str">
        <f t="shared" ref="M516" si="302">M514</f>
        <v xml:space="preserve">F_PROFILE(f,th,i) = </v>
      </c>
      <c r="N516" t="s">
        <v>242</v>
      </c>
      <c r="S516">
        <f t="shared" si="218"/>
        <v>7.0002500000000023E-2</v>
      </c>
      <c r="V516">
        <f t="shared" ref="V516" si="303">S516/2</f>
        <v>3.5001250000000012E-2</v>
      </c>
    </row>
    <row r="517" spans="11:22" x14ac:dyDescent="0.25">
      <c r="K517" t="str">
        <f t="shared" ref="K517:M517" si="304">K515</f>
        <v>else if(flow_time &lt;=</v>
      </c>
      <c r="L517" t="str">
        <f t="shared" si="304"/>
        <v>0.0538908</v>
      </c>
      <c r="M517" t="str">
        <f t="shared" si="304"/>
        <v>)</v>
      </c>
    </row>
    <row r="518" spans="11:22" x14ac:dyDescent="0.25">
      <c r="M518" t="str">
        <f t="shared" ref="M518" si="305">M516</f>
        <v xml:space="preserve">F_PROFILE(f,th,i) = </v>
      </c>
      <c r="N518" t="s">
        <v>242</v>
      </c>
      <c r="S518">
        <f t="shared" ref="S518" si="306">$S$400+S130</f>
        <v>7.0280300000000018E-2</v>
      </c>
      <c r="V518">
        <f t="shared" ref="V518" si="307">S518/2</f>
        <v>3.5140150000000009E-2</v>
      </c>
    </row>
    <row r="519" spans="11:22" x14ac:dyDescent="0.25">
      <c r="K519" t="str">
        <f t="shared" ref="K519:M519" si="308">K517</f>
        <v>else if(flow_time &lt;=</v>
      </c>
      <c r="L519" t="str">
        <f t="shared" si="308"/>
        <v>0.0538908</v>
      </c>
      <c r="M519" t="str">
        <f t="shared" si="308"/>
        <v>)</v>
      </c>
    </row>
    <row r="520" spans="11:22" x14ac:dyDescent="0.25">
      <c r="M520" t="str">
        <f t="shared" ref="M520" si="309">M518</f>
        <v xml:space="preserve">F_PROFILE(f,th,i) = </v>
      </c>
      <c r="N520" t="s">
        <v>242</v>
      </c>
      <c r="S520">
        <f t="shared" si="218"/>
        <v>7.0558100000000012E-2</v>
      </c>
      <c r="V520">
        <f t="shared" ref="V520" si="310">S520/2</f>
        <v>3.5279050000000006E-2</v>
      </c>
    </row>
    <row r="521" spans="11:22" x14ac:dyDescent="0.25">
      <c r="K521" t="str">
        <f t="shared" ref="K521:M521" si="311">K519</f>
        <v>else if(flow_time &lt;=</v>
      </c>
      <c r="L521" t="str">
        <f t="shared" si="311"/>
        <v>0.0538908</v>
      </c>
      <c r="M521" t="str">
        <f t="shared" si="311"/>
        <v>)</v>
      </c>
    </row>
    <row r="522" spans="11:22" x14ac:dyDescent="0.25">
      <c r="M522" t="str">
        <f t="shared" ref="M522" si="312">M520</f>
        <v xml:space="preserve">F_PROFILE(f,th,i) = </v>
      </c>
      <c r="N522" t="s">
        <v>242</v>
      </c>
      <c r="S522">
        <f t="shared" ref="S522" si="313">$S$400+S134</f>
        <v>7.0835900000000063E-2</v>
      </c>
      <c r="V522">
        <f t="shared" ref="V522" si="314">S522/2</f>
        <v>3.5417950000000031E-2</v>
      </c>
    </row>
    <row r="523" spans="11:22" x14ac:dyDescent="0.25">
      <c r="K523" t="str">
        <f t="shared" ref="K523:M523" si="315">K521</f>
        <v>else if(flow_time &lt;=</v>
      </c>
      <c r="L523" t="str">
        <f t="shared" si="315"/>
        <v>0.0538908</v>
      </c>
      <c r="M523" t="str">
        <f t="shared" si="315"/>
        <v>)</v>
      </c>
    </row>
    <row r="524" spans="11:22" x14ac:dyDescent="0.25">
      <c r="M524" t="str">
        <f t="shared" ref="M524" si="316">M522</f>
        <v xml:space="preserve">F_PROFILE(f,th,i) = </v>
      </c>
      <c r="N524" t="s">
        <v>242</v>
      </c>
      <c r="S524">
        <f t="shared" si="218"/>
        <v>7.1113700000000057E-2</v>
      </c>
      <c r="V524">
        <f t="shared" ref="V524" si="317">S524/2</f>
        <v>3.5556850000000029E-2</v>
      </c>
    </row>
    <row r="525" spans="11:22" x14ac:dyDescent="0.25">
      <c r="K525" t="str">
        <f t="shared" ref="K525:M525" si="318">K523</f>
        <v>else if(flow_time &lt;=</v>
      </c>
      <c r="L525" t="str">
        <f t="shared" si="318"/>
        <v>0.0538908</v>
      </c>
      <c r="M525" t="str">
        <f t="shared" si="318"/>
        <v>)</v>
      </c>
    </row>
    <row r="526" spans="11:22" x14ac:dyDescent="0.25">
      <c r="M526" t="str">
        <f t="shared" ref="M526" si="319">M524</f>
        <v xml:space="preserve">F_PROFILE(f,th,i) = </v>
      </c>
      <c r="N526" t="s">
        <v>242</v>
      </c>
      <c r="S526">
        <f t="shared" ref="S526" si="320">$S$400+S138</f>
        <v>7.1391500000000052E-2</v>
      </c>
      <c r="V526">
        <f t="shared" ref="V526" si="321">S526/2</f>
        <v>3.5695750000000026E-2</v>
      </c>
    </row>
    <row r="527" spans="11:22" x14ac:dyDescent="0.25">
      <c r="K527" t="str">
        <f t="shared" ref="K527:M527" si="322">K525</f>
        <v>else if(flow_time &lt;=</v>
      </c>
      <c r="L527" t="str">
        <f t="shared" si="322"/>
        <v>0.0538908</v>
      </c>
      <c r="M527" t="str">
        <f t="shared" si="322"/>
        <v>)</v>
      </c>
    </row>
    <row r="528" spans="11:22" x14ac:dyDescent="0.25">
      <c r="M528" t="str">
        <f t="shared" ref="M528" si="323">M526</f>
        <v xml:space="preserve">F_PROFILE(f,th,i) = </v>
      </c>
      <c r="N528" t="s">
        <v>242</v>
      </c>
      <c r="S528">
        <f t="shared" si="218"/>
        <v>7.1669200000000044E-2</v>
      </c>
      <c r="V528">
        <f t="shared" ref="V528" si="324">S528/2</f>
        <v>3.5834600000000022E-2</v>
      </c>
    </row>
    <row r="529" spans="11:22" x14ac:dyDescent="0.25">
      <c r="K529" t="str">
        <f t="shared" ref="K529:M529" si="325">K527</f>
        <v>else if(flow_time &lt;=</v>
      </c>
      <c r="L529" t="str">
        <f t="shared" si="325"/>
        <v>0.0538908</v>
      </c>
      <c r="M529" t="str">
        <f t="shared" si="325"/>
        <v>)</v>
      </c>
    </row>
    <row r="530" spans="11:22" x14ac:dyDescent="0.25">
      <c r="M530" t="str">
        <f t="shared" ref="M530" si="326">M528</f>
        <v xml:space="preserve">F_PROFILE(f,th,i) = </v>
      </c>
      <c r="N530" t="s">
        <v>242</v>
      </c>
      <c r="S530">
        <f t="shared" ref="S530" si="327">$S$400+S142</f>
        <v>7.1947000000000039E-2</v>
      </c>
      <c r="V530">
        <f t="shared" ref="V530" si="328">S530/2</f>
        <v>3.5973500000000019E-2</v>
      </c>
    </row>
    <row r="531" spans="11:22" x14ac:dyDescent="0.25">
      <c r="K531" t="str">
        <f t="shared" ref="K531:M531" si="329">K529</f>
        <v>else if(flow_time &lt;=</v>
      </c>
      <c r="L531" t="str">
        <f t="shared" si="329"/>
        <v>0.0538908</v>
      </c>
      <c r="M531" t="str">
        <f t="shared" si="329"/>
        <v>)</v>
      </c>
    </row>
    <row r="532" spans="11:22" x14ac:dyDescent="0.25">
      <c r="M532" t="str">
        <f t="shared" ref="M532" si="330">M530</f>
        <v xml:space="preserve">F_PROFILE(f,th,i) = </v>
      </c>
      <c r="N532" t="s">
        <v>242</v>
      </c>
      <c r="S532">
        <f t="shared" ref="S532:S592" si="331">$S$400+S144</f>
        <v>7.2224800000000033E-2</v>
      </c>
      <c r="V532">
        <f t="shared" ref="V532" si="332">S532/2</f>
        <v>3.6112400000000017E-2</v>
      </c>
    </row>
    <row r="533" spans="11:22" x14ac:dyDescent="0.25">
      <c r="K533" t="str">
        <f t="shared" ref="K533:M533" si="333">K531</f>
        <v>else if(flow_time &lt;=</v>
      </c>
      <c r="L533" t="str">
        <f t="shared" si="333"/>
        <v>0.0538908</v>
      </c>
      <c r="M533" t="str">
        <f t="shared" si="333"/>
        <v>)</v>
      </c>
    </row>
    <row r="534" spans="11:22" x14ac:dyDescent="0.25">
      <c r="M534" t="str">
        <f t="shared" ref="M534" si="334">M532</f>
        <v xml:space="preserve">F_PROFILE(f,th,i) = </v>
      </c>
      <c r="N534" t="s">
        <v>242</v>
      </c>
      <c r="S534">
        <f t="shared" ref="S534" si="335">$S$400+S146</f>
        <v>7.2502600000000028E-2</v>
      </c>
      <c r="V534">
        <f t="shared" ref="V534" si="336">S534/2</f>
        <v>3.6251300000000014E-2</v>
      </c>
    </row>
    <row r="535" spans="11:22" x14ac:dyDescent="0.25">
      <c r="K535" t="str">
        <f t="shared" ref="K535:M535" si="337">K533</f>
        <v>else if(flow_time &lt;=</v>
      </c>
      <c r="L535" t="str">
        <f t="shared" si="337"/>
        <v>0.0538908</v>
      </c>
      <c r="M535" t="str">
        <f t="shared" si="337"/>
        <v>)</v>
      </c>
    </row>
    <row r="536" spans="11:22" x14ac:dyDescent="0.25">
      <c r="M536" t="str">
        <f t="shared" ref="M536" si="338">M534</f>
        <v xml:space="preserve">F_PROFILE(f,th,i) = </v>
      </c>
      <c r="N536" t="s">
        <v>242</v>
      </c>
      <c r="S536">
        <f t="shared" si="331"/>
        <v>7.2780400000000023E-2</v>
      </c>
      <c r="V536">
        <f t="shared" ref="V536" si="339">S536/2</f>
        <v>3.6390200000000011E-2</v>
      </c>
    </row>
    <row r="537" spans="11:22" x14ac:dyDescent="0.25">
      <c r="K537" t="str">
        <f t="shared" ref="K537:M537" si="340">K535</f>
        <v>else if(flow_time &lt;=</v>
      </c>
      <c r="L537" t="str">
        <f t="shared" si="340"/>
        <v>0.0538908</v>
      </c>
      <c r="M537" t="str">
        <f t="shared" si="340"/>
        <v>)</v>
      </c>
    </row>
    <row r="538" spans="11:22" x14ac:dyDescent="0.25">
      <c r="M538" t="str">
        <f t="shared" ref="M538" si="341">M536</f>
        <v xml:space="preserve">F_PROFILE(f,th,i) = </v>
      </c>
      <c r="N538" t="s">
        <v>242</v>
      </c>
      <c r="S538">
        <f t="shared" ref="S538" si="342">$S$400+S150</f>
        <v>7.3058200000000018E-2</v>
      </c>
      <c r="V538">
        <f t="shared" ref="V538" si="343">S538/2</f>
        <v>3.6529100000000009E-2</v>
      </c>
    </row>
    <row r="539" spans="11:22" x14ac:dyDescent="0.25">
      <c r="K539" t="str">
        <f t="shared" ref="K539:M539" si="344">K537</f>
        <v>else if(flow_time &lt;=</v>
      </c>
      <c r="L539" t="str">
        <f t="shared" si="344"/>
        <v>0.0538908</v>
      </c>
      <c r="M539" t="str">
        <f t="shared" si="344"/>
        <v>)</v>
      </c>
    </row>
    <row r="540" spans="11:22" x14ac:dyDescent="0.25">
      <c r="M540" t="str">
        <f t="shared" ref="M540" si="345">M538</f>
        <v xml:space="preserve">F_PROFILE(f,th,i) = </v>
      </c>
      <c r="N540" t="s">
        <v>271</v>
      </c>
      <c r="S540">
        <f t="shared" si="331"/>
        <v>7.3336000000000012E-2</v>
      </c>
      <c r="V540">
        <f t="shared" ref="V540" si="346">S540/2</f>
        <v>3.6668000000000006E-2</v>
      </c>
    </row>
    <row r="541" spans="11:22" x14ac:dyDescent="0.25">
      <c r="K541" t="str">
        <f t="shared" ref="K541:M541" si="347">K539</f>
        <v>else if(flow_time &lt;=</v>
      </c>
      <c r="L541" t="str">
        <f t="shared" si="347"/>
        <v>0.0538908</v>
      </c>
      <c r="M541" t="str">
        <f t="shared" si="347"/>
        <v>)</v>
      </c>
    </row>
    <row r="542" spans="11:22" x14ac:dyDescent="0.25">
      <c r="M542" t="str">
        <f t="shared" ref="M542" si="348">M540</f>
        <v xml:space="preserve">F_PROFILE(f,th,i) = </v>
      </c>
      <c r="N542" t="s">
        <v>272</v>
      </c>
      <c r="S542">
        <f t="shared" ref="S542" si="349">$S$400+S154</f>
        <v>7.3613800000000063E-2</v>
      </c>
      <c r="V542">
        <f t="shared" ref="V542" si="350">S542/2</f>
        <v>3.6806900000000031E-2</v>
      </c>
    </row>
    <row r="543" spans="11:22" x14ac:dyDescent="0.25">
      <c r="K543" t="str">
        <f t="shared" ref="K543:M543" si="351">K541</f>
        <v>else if(flow_time &lt;=</v>
      </c>
      <c r="L543" t="str">
        <f t="shared" si="351"/>
        <v>0.0538908</v>
      </c>
      <c r="M543" t="str">
        <f t="shared" si="351"/>
        <v>)</v>
      </c>
    </row>
    <row r="544" spans="11:22" x14ac:dyDescent="0.25">
      <c r="M544" t="str">
        <f t="shared" ref="M544" si="352">M542</f>
        <v xml:space="preserve">F_PROFILE(f,th,i) = </v>
      </c>
      <c r="N544" t="s">
        <v>273</v>
      </c>
      <c r="S544">
        <f t="shared" si="331"/>
        <v>7.3891500000000054E-2</v>
      </c>
      <c r="V544">
        <f t="shared" ref="V544" si="353">S544/2</f>
        <v>3.6945750000000027E-2</v>
      </c>
    </row>
    <row r="545" spans="11:22" x14ac:dyDescent="0.25">
      <c r="K545" t="str">
        <f t="shared" ref="K545:M545" si="354">K543</f>
        <v>else if(flow_time &lt;=</v>
      </c>
      <c r="L545" t="str">
        <f t="shared" si="354"/>
        <v>0.0538908</v>
      </c>
      <c r="M545" t="str">
        <f t="shared" si="354"/>
        <v>)</v>
      </c>
    </row>
    <row r="546" spans="11:22" x14ac:dyDescent="0.25">
      <c r="M546" t="str">
        <f t="shared" ref="M546" si="355">M544</f>
        <v xml:space="preserve">F_PROFILE(f,th,i) = </v>
      </c>
      <c r="N546" t="s">
        <v>274</v>
      </c>
      <c r="S546">
        <f t="shared" ref="S546" si="356">$S$400+S158</f>
        <v>7.4169300000000049E-2</v>
      </c>
      <c r="V546">
        <f t="shared" ref="V546" si="357">S546/2</f>
        <v>3.7084650000000025E-2</v>
      </c>
    </row>
    <row r="547" spans="11:22" x14ac:dyDescent="0.25">
      <c r="K547" t="str">
        <f t="shared" ref="K547:M547" si="358">K545</f>
        <v>else if(flow_time &lt;=</v>
      </c>
      <c r="L547" t="str">
        <f t="shared" si="358"/>
        <v>0.0538908</v>
      </c>
      <c r="M547" t="str">
        <f t="shared" si="358"/>
        <v>)</v>
      </c>
    </row>
    <row r="548" spans="11:22" x14ac:dyDescent="0.25">
      <c r="M548" t="str">
        <f t="shared" ref="M548" si="359">M546</f>
        <v xml:space="preserve">F_PROFILE(f,th,i) = </v>
      </c>
      <c r="N548" t="s">
        <v>275</v>
      </c>
      <c r="S548">
        <f t="shared" si="331"/>
        <v>7.4447100000000044E-2</v>
      </c>
      <c r="V548">
        <f t="shared" ref="V548" si="360">S548/2</f>
        <v>3.7223550000000022E-2</v>
      </c>
    </row>
    <row r="549" spans="11:22" x14ac:dyDescent="0.25">
      <c r="K549" t="str">
        <f t="shared" ref="K549:M549" si="361">K547</f>
        <v>else if(flow_time &lt;=</v>
      </c>
      <c r="L549" t="str">
        <f t="shared" si="361"/>
        <v>0.0538908</v>
      </c>
      <c r="M549" t="str">
        <f t="shared" si="361"/>
        <v>)</v>
      </c>
    </row>
    <row r="550" spans="11:22" x14ac:dyDescent="0.25">
      <c r="M550" t="str">
        <f t="shared" ref="M550" si="362">M548</f>
        <v xml:space="preserve">F_PROFILE(f,th,i) = </v>
      </c>
      <c r="N550" t="s">
        <v>276</v>
      </c>
      <c r="S550">
        <f t="shared" ref="S550" si="363">$S$400+S162</f>
        <v>7.4724900000000039E-2</v>
      </c>
      <c r="V550">
        <f t="shared" ref="V550" si="364">S550/2</f>
        <v>3.7362450000000019E-2</v>
      </c>
    </row>
    <row r="551" spans="11:22" x14ac:dyDescent="0.25">
      <c r="K551" t="str">
        <f t="shared" ref="K551:M551" si="365">K549</f>
        <v>else if(flow_time &lt;=</v>
      </c>
      <c r="L551" t="str">
        <f t="shared" si="365"/>
        <v>0.0538908</v>
      </c>
      <c r="M551" t="str">
        <f t="shared" si="365"/>
        <v>)</v>
      </c>
    </row>
    <row r="552" spans="11:22" x14ac:dyDescent="0.25">
      <c r="M552" t="str">
        <f t="shared" ref="M552" si="366">M550</f>
        <v xml:space="preserve">F_PROFILE(f,th,i) = </v>
      </c>
      <c r="N552" t="s">
        <v>277</v>
      </c>
      <c r="S552">
        <f t="shared" si="331"/>
        <v>7.5002700000000033E-2</v>
      </c>
      <c r="V552">
        <f t="shared" ref="V552" si="367">S552/2</f>
        <v>3.7501350000000017E-2</v>
      </c>
    </row>
    <row r="553" spans="11:22" x14ac:dyDescent="0.25">
      <c r="K553" t="str">
        <f t="shared" ref="K553:M553" si="368">K551</f>
        <v>else if(flow_time &lt;=</v>
      </c>
      <c r="L553" t="str">
        <f t="shared" si="368"/>
        <v>0.0538908</v>
      </c>
      <c r="M553" t="str">
        <f t="shared" si="368"/>
        <v>)</v>
      </c>
    </row>
    <row r="554" spans="11:22" x14ac:dyDescent="0.25">
      <c r="M554" t="str">
        <f t="shared" ref="M554" si="369">M552</f>
        <v xml:space="preserve">F_PROFILE(f,th,i) = </v>
      </c>
      <c r="N554" t="s">
        <v>278</v>
      </c>
      <c r="S554">
        <f t="shared" ref="S554" si="370">$S$400+S166</f>
        <v>7.5280500000000028E-2</v>
      </c>
      <c r="V554">
        <f t="shared" ref="V554" si="371">S554/2</f>
        <v>3.7640250000000014E-2</v>
      </c>
    </row>
    <row r="555" spans="11:22" x14ac:dyDescent="0.25">
      <c r="K555" t="str">
        <f t="shared" ref="K555:M555" si="372">K553</f>
        <v>else if(flow_time &lt;=</v>
      </c>
      <c r="L555" t="str">
        <f t="shared" si="372"/>
        <v>0.0538908</v>
      </c>
      <c r="M555" t="str">
        <f t="shared" si="372"/>
        <v>)</v>
      </c>
    </row>
    <row r="556" spans="11:22" x14ac:dyDescent="0.25">
      <c r="M556" t="str">
        <f t="shared" ref="M556" si="373">M554</f>
        <v xml:space="preserve">F_PROFILE(f,th,i) = </v>
      </c>
      <c r="N556" t="s">
        <v>279</v>
      </c>
      <c r="S556">
        <f t="shared" si="331"/>
        <v>7.5558300000000023E-2</v>
      </c>
      <c r="V556">
        <f t="shared" ref="V556" si="374">S556/2</f>
        <v>3.7779150000000011E-2</v>
      </c>
    </row>
    <row r="557" spans="11:22" x14ac:dyDescent="0.25">
      <c r="K557" t="str">
        <f t="shared" ref="K557:M557" si="375">K555</f>
        <v>else if(flow_time &lt;=</v>
      </c>
      <c r="L557" t="str">
        <f t="shared" si="375"/>
        <v>0.0538908</v>
      </c>
      <c r="M557" t="str">
        <f t="shared" si="375"/>
        <v>)</v>
      </c>
    </row>
    <row r="558" spans="11:22" x14ac:dyDescent="0.25">
      <c r="M558" t="str">
        <f t="shared" ref="M558" si="376">M556</f>
        <v xml:space="preserve">F_PROFILE(f,th,i) = </v>
      </c>
      <c r="N558" t="s">
        <v>280</v>
      </c>
      <c r="S558">
        <f t="shared" ref="S558" si="377">$S$400+S170</f>
        <v>7.5836100000000017E-2</v>
      </c>
      <c r="V558">
        <f t="shared" ref="V558" si="378">S558/2</f>
        <v>3.7918050000000009E-2</v>
      </c>
    </row>
    <row r="559" spans="11:22" x14ac:dyDescent="0.25">
      <c r="K559" t="str">
        <f t="shared" ref="K559:M559" si="379">K557</f>
        <v>else if(flow_time &lt;=</v>
      </c>
      <c r="L559" t="str">
        <f t="shared" si="379"/>
        <v>0.0538908</v>
      </c>
      <c r="M559" t="str">
        <f t="shared" si="379"/>
        <v>)</v>
      </c>
    </row>
    <row r="560" spans="11:22" x14ac:dyDescent="0.25">
      <c r="M560" t="str">
        <f t="shared" ref="M560" si="380">M558</f>
        <v xml:space="preserve">F_PROFILE(f,th,i) = </v>
      </c>
      <c r="N560" t="s">
        <v>281</v>
      </c>
      <c r="S560">
        <f t="shared" si="331"/>
        <v>7.6113800000000009E-2</v>
      </c>
      <c r="V560">
        <f t="shared" ref="V560" si="381">S560/2</f>
        <v>3.8056900000000005E-2</v>
      </c>
    </row>
    <row r="561" spans="11:22" x14ac:dyDescent="0.25">
      <c r="K561" t="str">
        <f t="shared" ref="K561:M561" si="382">K559</f>
        <v>else if(flow_time &lt;=</v>
      </c>
      <c r="L561" t="str">
        <f t="shared" si="382"/>
        <v>0.0538908</v>
      </c>
      <c r="M561" t="str">
        <f t="shared" si="382"/>
        <v>)</v>
      </c>
    </row>
    <row r="562" spans="11:22" x14ac:dyDescent="0.25">
      <c r="M562" t="str">
        <f t="shared" ref="M562" si="383">M560</f>
        <v xml:space="preserve">F_PROFILE(f,th,i) = </v>
      </c>
      <c r="N562" t="s">
        <v>282</v>
      </c>
      <c r="S562">
        <f t="shared" ref="S562" si="384">$S$400+S174</f>
        <v>7.6391600000000059E-2</v>
      </c>
      <c r="V562">
        <f t="shared" ref="V562" si="385">S562/2</f>
        <v>3.819580000000003E-2</v>
      </c>
    </row>
    <row r="563" spans="11:22" x14ac:dyDescent="0.25">
      <c r="K563" t="str">
        <f t="shared" ref="K563:M563" si="386">K561</f>
        <v>else if(flow_time &lt;=</v>
      </c>
      <c r="L563" t="str">
        <f t="shared" si="386"/>
        <v>0.0538908</v>
      </c>
      <c r="M563" t="str">
        <f t="shared" si="386"/>
        <v>)</v>
      </c>
    </row>
    <row r="564" spans="11:22" x14ac:dyDescent="0.25">
      <c r="M564" t="str">
        <f t="shared" ref="M564" si="387">M562</f>
        <v xml:space="preserve">F_PROFILE(f,th,i) = </v>
      </c>
      <c r="N564" t="s">
        <v>283</v>
      </c>
      <c r="S564">
        <f t="shared" si="331"/>
        <v>7.6669400000000054E-2</v>
      </c>
      <c r="V564">
        <f t="shared" ref="V564" si="388">S564/2</f>
        <v>3.8334700000000027E-2</v>
      </c>
    </row>
    <row r="565" spans="11:22" x14ac:dyDescent="0.25">
      <c r="K565" t="str">
        <f t="shared" ref="K565:M565" si="389">K563</f>
        <v>else if(flow_time &lt;=</v>
      </c>
      <c r="L565" t="str">
        <f t="shared" si="389"/>
        <v>0.0538908</v>
      </c>
      <c r="M565" t="str">
        <f t="shared" si="389"/>
        <v>)</v>
      </c>
    </row>
    <row r="566" spans="11:22" x14ac:dyDescent="0.25">
      <c r="M566" t="str">
        <f t="shared" ref="M566" si="390">M564</f>
        <v xml:space="preserve">F_PROFILE(f,th,i) = </v>
      </c>
      <c r="N566" t="s">
        <v>284</v>
      </c>
      <c r="S566">
        <f t="shared" ref="S566" si="391">$S$400+S178</f>
        <v>7.6947200000000049E-2</v>
      </c>
      <c r="V566">
        <f t="shared" ref="V566" si="392">S566/2</f>
        <v>3.8473600000000024E-2</v>
      </c>
    </row>
    <row r="567" spans="11:22" x14ac:dyDescent="0.25">
      <c r="K567" t="str">
        <f t="shared" ref="K567:M567" si="393">K565</f>
        <v>else if(flow_time &lt;=</v>
      </c>
      <c r="L567" t="str">
        <f t="shared" si="393"/>
        <v>0.0538908</v>
      </c>
      <c r="M567" t="str">
        <f t="shared" si="393"/>
        <v>)</v>
      </c>
    </row>
    <row r="568" spans="11:22" x14ac:dyDescent="0.25">
      <c r="M568" t="str">
        <f t="shared" ref="M568" si="394">M566</f>
        <v xml:space="preserve">F_PROFILE(f,th,i) = </v>
      </c>
      <c r="N568" t="s">
        <v>285</v>
      </c>
      <c r="S568">
        <f t="shared" si="331"/>
        <v>7.7225000000000044E-2</v>
      </c>
      <c r="V568">
        <f t="shared" ref="V568" si="395">S568/2</f>
        <v>3.8612500000000022E-2</v>
      </c>
    </row>
    <row r="569" spans="11:22" x14ac:dyDescent="0.25">
      <c r="K569" t="str">
        <f t="shared" ref="K569:M569" si="396">K567</f>
        <v>else if(flow_time &lt;=</v>
      </c>
      <c r="L569" t="str">
        <f t="shared" si="396"/>
        <v>0.0538908</v>
      </c>
      <c r="M569" t="str">
        <f t="shared" si="396"/>
        <v>)</v>
      </c>
    </row>
    <row r="570" spans="11:22" x14ac:dyDescent="0.25">
      <c r="M570" t="str">
        <f t="shared" ref="M570" si="397">M568</f>
        <v xml:space="preserve">F_PROFILE(f,th,i) = </v>
      </c>
      <c r="N570" t="s">
        <v>286</v>
      </c>
      <c r="S570">
        <f t="shared" ref="S570" si="398">$S$400+S182</f>
        <v>7.7502800000000038E-2</v>
      </c>
      <c r="V570">
        <f t="shared" ref="V570" si="399">S570/2</f>
        <v>3.8751400000000019E-2</v>
      </c>
    </row>
    <row r="571" spans="11:22" x14ac:dyDescent="0.25">
      <c r="K571" t="str">
        <f t="shared" ref="K571:M571" si="400">K569</f>
        <v>else if(flow_time &lt;=</v>
      </c>
      <c r="L571" t="str">
        <f t="shared" si="400"/>
        <v>0.0538908</v>
      </c>
      <c r="M571" t="str">
        <f t="shared" si="400"/>
        <v>)</v>
      </c>
    </row>
    <row r="572" spans="11:22" x14ac:dyDescent="0.25">
      <c r="M572" t="str">
        <f t="shared" ref="M572" si="401">M570</f>
        <v xml:space="preserve">F_PROFILE(f,th,i) = </v>
      </c>
      <c r="N572" t="s">
        <v>287</v>
      </c>
      <c r="S572">
        <f t="shared" si="331"/>
        <v>7.7780600000000033E-2</v>
      </c>
      <c r="V572">
        <f t="shared" ref="V572" si="402">S572/2</f>
        <v>3.8890300000000017E-2</v>
      </c>
    </row>
    <row r="573" spans="11:22" x14ac:dyDescent="0.25">
      <c r="K573" t="str">
        <f t="shared" ref="K573:M573" si="403">K571</f>
        <v>else if(flow_time &lt;=</v>
      </c>
      <c r="L573" t="str">
        <f t="shared" si="403"/>
        <v>0.0538908</v>
      </c>
      <c r="M573" t="str">
        <f t="shared" si="403"/>
        <v>)</v>
      </c>
    </row>
    <row r="574" spans="11:22" x14ac:dyDescent="0.25">
      <c r="M574" t="str">
        <f t="shared" ref="M574" si="404">M572</f>
        <v xml:space="preserve">F_PROFILE(f,th,i) = </v>
      </c>
      <c r="N574" t="s">
        <v>288</v>
      </c>
      <c r="S574">
        <f t="shared" ref="S574" si="405">$S$400+S186</f>
        <v>7.8058400000000028E-2</v>
      </c>
      <c r="V574">
        <f t="shared" ref="V574" si="406">S574/2</f>
        <v>3.9029200000000014E-2</v>
      </c>
    </row>
    <row r="575" spans="11:22" x14ac:dyDescent="0.25">
      <c r="K575" t="str">
        <f t="shared" ref="K575:M575" si="407">K573</f>
        <v>else if(flow_time &lt;=</v>
      </c>
      <c r="L575" t="str">
        <f t="shared" si="407"/>
        <v>0.0538908</v>
      </c>
      <c r="M575" t="str">
        <f t="shared" si="407"/>
        <v>)</v>
      </c>
    </row>
    <row r="576" spans="11:22" x14ac:dyDescent="0.25">
      <c r="M576" t="str">
        <f t="shared" ref="M576" si="408">M574</f>
        <v xml:space="preserve">F_PROFILE(f,th,i) = </v>
      </c>
      <c r="N576" t="s">
        <v>289</v>
      </c>
      <c r="S576">
        <f t="shared" si="331"/>
        <v>7.833610000000002E-2</v>
      </c>
      <c r="V576">
        <f t="shared" ref="V576" si="409">S576/2</f>
        <v>3.916805000000001E-2</v>
      </c>
    </row>
    <row r="577" spans="11:22" x14ac:dyDescent="0.25">
      <c r="K577" t="str">
        <f t="shared" ref="K577:M577" si="410">K575</f>
        <v>else if(flow_time &lt;=</v>
      </c>
      <c r="L577" t="str">
        <f t="shared" si="410"/>
        <v>0.0538908</v>
      </c>
      <c r="M577" t="str">
        <f t="shared" si="410"/>
        <v>)</v>
      </c>
    </row>
    <row r="578" spans="11:22" x14ac:dyDescent="0.25">
      <c r="M578" t="str">
        <f t="shared" ref="M578" si="411">M576</f>
        <v xml:space="preserve">F_PROFILE(f,th,i) = </v>
      </c>
      <c r="N578" t="s">
        <v>290</v>
      </c>
      <c r="S578">
        <f t="shared" ref="S578" si="412">$S$400+S190</f>
        <v>7.8613900000000014E-2</v>
      </c>
      <c r="V578">
        <f t="shared" ref="V578" si="413">S578/2</f>
        <v>3.9306950000000007E-2</v>
      </c>
    </row>
    <row r="579" spans="11:22" x14ac:dyDescent="0.25">
      <c r="K579" t="str">
        <f t="shared" ref="K579:M579" si="414">K577</f>
        <v>else if(flow_time &lt;=</v>
      </c>
      <c r="L579" t="str">
        <f t="shared" si="414"/>
        <v>0.0538908</v>
      </c>
      <c r="M579" t="str">
        <f t="shared" si="414"/>
        <v>)</v>
      </c>
    </row>
    <row r="580" spans="11:22" x14ac:dyDescent="0.25">
      <c r="M580" t="str">
        <f t="shared" ref="M580" si="415">M578</f>
        <v xml:space="preserve">F_PROFILE(f,th,i) = </v>
      </c>
      <c r="N580" t="s">
        <v>291</v>
      </c>
      <c r="S580">
        <f t="shared" si="331"/>
        <v>7.8891700000000009E-2</v>
      </c>
      <c r="V580">
        <f t="shared" ref="V580" si="416">S580/2</f>
        <v>3.9445850000000005E-2</v>
      </c>
    </row>
    <row r="581" spans="11:22" x14ac:dyDescent="0.25">
      <c r="K581" t="str">
        <f t="shared" ref="K581:M581" si="417">K579</f>
        <v>else if(flow_time &lt;=</v>
      </c>
      <c r="L581" t="str">
        <f t="shared" si="417"/>
        <v>0.0538908</v>
      </c>
      <c r="M581" t="str">
        <f t="shared" si="417"/>
        <v>)</v>
      </c>
    </row>
    <row r="582" spans="11:22" x14ac:dyDescent="0.25">
      <c r="M582" t="str">
        <f t="shared" ref="M582" si="418">M580</f>
        <v xml:space="preserve">F_PROFILE(f,th,i) = </v>
      </c>
      <c r="N582" t="s">
        <v>292</v>
      </c>
      <c r="S582">
        <f t="shared" ref="S582" si="419">$S$400+S194</f>
        <v>7.9169500000000059E-2</v>
      </c>
      <c r="V582">
        <f t="shared" ref="V582" si="420">S582/2</f>
        <v>3.958475000000003E-2</v>
      </c>
    </row>
    <row r="583" spans="11:22" x14ac:dyDescent="0.25">
      <c r="K583" t="str">
        <f t="shared" ref="K583:M583" si="421">K581</f>
        <v>else if(flow_time &lt;=</v>
      </c>
      <c r="L583" t="str">
        <f t="shared" si="421"/>
        <v>0.0538908</v>
      </c>
      <c r="M583" t="str">
        <f t="shared" si="421"/>
        <v>)</v>
      </c>
    </row>
    <row r="584" spans="11:22" x14ac:dyDescent="0.25">
      <c r="M584" t="str">
        <f t="shared" ref="M584" si="422">M582</f>
        <v xml:space="preserve">F_PROFILE(f,th,i) = </v>
      </c>
      <c r="N584" t="s">
        <v>293</v>
      </c>
      <c r="S584">
        <f t="shared" si="331"/>
        <v>7.9447300000000054E-2</v>
      </c>
      <c r="V584">
        <f t="shared" ref="V584" si="423">S584/2</f>
        <v>3.9723650000000027E-2</v>
      </c>
    </row>
    <row r="585" spans="11:22" x14ac:dyDescent="0.25">
      <c r="K585" t="str">
        <f t="shared" ref="K585:M585" si="424">K583</f>
        <v>else if(flow_time &lt;=</v>
      </c>
      <c r="L585" t="str">
        <f t="shared" si="424"/>
        <v>0.0538908</v>
      </c>
      <c r="M585" t="str">
        <f t="shared" si="424"/>
        <v>)</v>
      </c>
    </row>
    <row r="586" spans="11:22" x14ac:dyDescent="0.25">
      <c r="M586" t="str">
        <f t="shared" ref="M586" si="425">M584</f>
        <v xml:space="preserve">F_PROFILE(f,th,i) = </v>
      </c>
      <c r="N586" t="s">
        <v>294</v>
      </c>
      <c r="S586">
        <f t="shared" ref="S586" si="426">$S$400+S198</f>
        <v>7.9725100000000049E-2</v>
      </c>
      <c r="V586">
        <f t="shared" ref="V586" si="427">S586/2</f>
        <v>3.9862550000000024E-2</v>
      </c>
    </row>
    <row r="587" spans="11:22" x14ac:dyDescent="0.25">
      <c r="K587" t="str">
        <f t="shared" ref="K587:M587" si="428">K585</f>
        <v>else if(flow_time &lt;=</v>
      </c>
      <c r="L587" t="str">
        <f t="shared" si="428"/>
        <v>0.0538908</v>
      </c>
      <c r="M587" t="str">
        <f t="shared" si="428"/>
        <v>)</v>
      </c>
    </row>
    <row r="588" spans="11:22" x14ac:dyDescent="0.25">
      <c r="M588" t="str">
        <f t="shared" ref="M588" si="429">M586</f>
        <v xml:space="preserve">F_PROFILE(f,th,i) = </v>
      </c>
      <c r="N588" t="s">
        <v>295</v>
      </c>
      <c r="S588">
        <f t="shared" si="331"/>
        <v>8.0002900000000043E-2</v>
      </c>
      <c r="V588">
        <f t="shared" ref="V588" si="430">S588/2</f>
        <v>4.0001450000000022E-2</v>
      </c>
    </row>
    <row r="589" spans="11:22" x14ac:dyDescent="0.25">
      <c r="K589" t="str">
        <f t="shared" ref="K589:M589" si="431">K587</f>
        <v>else if(flow_time &lt;=</v>
      </c>
      <c r="L589" t="str">
        <f t="shared" si="431"/>
        <v>0.0538908</v>
      </c>
      <c r="M589" t="str">
        <f t="shared" si="431"/>
        <v>)</v>
      </c>
    </row>
    <row r="590" spans="11:22" x14ac:dyDescent="0.25">
      <c r="M590" t="str">
        <f t="shared" ref="M590" si="432">M588</f>
        <v xml:space="preserve">F_PROFILE(f,th,i) = </v>
      </c>
      <c r="N590" t="s">
        <v>296</v>
      </c>
      <c r="S590">
        <f t="shared" ref="S590" si="433">$S$400+S202</f>
        <v>8.0280700000000038E-2</v>
      </c>
      <c r="V590">
        <f t="shared" ref="V590" si="434">S590/2</f>
        <v>4.0140350000000019E-2</v>
      </c>
    </row>
    <row r="591" spans="11:22" x14ac:dyDescent="0.25">
      <c r="K591" t="str">
        <f t="shared" ref="K591:M591" si="435">K589</f>
        <v>else if(flow_time &lt;=</v>
      </c>
      <c r="L591" t="str">
        <f t="shared" si="435"/>
        <v>0.0538908</v>
      </c>
      <c r="M591" t="str">
        <f t="shared" si="435"/>
        <v>)</v>
      </c>
    </row>
    <row r="592" spans="11:22" x14ac:dyDescent="0.25">
      <c r="M592" t="str">
        <f t="shared" ref="M592" si="436">M590</f>
        <v xml:space="preserve">F_PROFILE(f,th,i) = </v>
      </c>
      <c r="N592" t="s">
        <v>297</v>
      </c>
      <c r="S592">
        <f t="shared" si="331"/>
        <v>8.055840000000003E-2</v>
      </c>
      <c r="V592">
        <f t="shared" ref="V592" si="437">S592/2</f>
        <v>4.0279200000000015E-2</v>
      </c>
    </row>
    <row r="593" spans="11:22" x14ac:dyDescent="0.25">
      <c r="K593" t="str">
        <f t="shared" ref="K593:M593" si="438">K591</f>
        <v>else if(flow_time &lt;=</v>
      </c>
      <c r="L593" t="str">
        <f t="shared" si="438"/>
        <v>0.0538908</v>
      </c>
      <c r="M593" t="str">
        <f t="shared" si="438"/>
        <v>)</v>
      </c>
    </row>
    <row r="594" spans="11:22" x14ac:dyDescent="0.25">
      <c r="M594" t="str">
        <f t="shared" ref="M594" si="439">M592</f>
        <v xml:space="preserve">F_PROFILE(f,th,i) = </v>
      </c>
      <c r="N594" t="s">
        <v>298</v>
      </c>
      <c r="S594">
        <f t="shared" ref="S594" si="440">$S$400+S206</f>
        <v>8.0836200000000025E-2</v>
      </c>
      <c r="V594">
        <f t="shared" ref="V594" si="441">S594/2</f>
        <v>4.0418100000000012E-2</v>
      </c>
    </row>
    <row r="595" spans="11:22" x14ac:dyDescent="0.25">
      <c r="K595" t="str">
        <f t="shared" ref="K595:M595" si="442">K593</f>
        <v>else if(flow_time &lt;=</v>
      </c>
      <c r="L595" t="str">
        <f t="shared" si="442"/>
        <v>0.0538908</v>
      </c>
      <c r="M595" t="str">
        <f t="shared" si="442"/>
        <v>)</v>
      </c>
    </row>
    <row r="596" spans="11:22" x14ac:dyDescent="0.25">
      <c r="M596" t="str">
        <f t="shared" ref="M596" si="443">M594</f>
        <v xml:space="preserve">F_PROFILE(f,th,i) = </v>
      </c>
      <c r="N596" t="s">
        <v>299</v>
      </c>
      <c r="S596">
        <f t="shared" ref="S596:S628" si="444">$S$400+S208</f>
        <v>8.1114000000000019E-2</v>
      </c>
      <c r="V596">
        <f t="shared" ref="V596" si="445">S596/2</f>
        <v>4.055700000000001E-2</v>
      </c>
    </row>
    <row r="597" spans="11:22" x14ac:dyDescent="0.25">
      <c r="K597" t="str">
        <f t="shared" ref="K597:M597" si="446">K595</f>
        <v>else if(flow_time &lt;=</v>
      </c>
      <c r="L597" t="str">
        <f t="shared" si="446"/>
        <v>0.0538908</v>
      </c>
      <c r="M597" t="str">
        <f t="shared" si="446"/>
        <v>)</v>
      </c>
    </row>
    <row r="598" spans="11:22" x14ac:dyDescent="0.25">
      <c r="M598" t="str">
        <f t="shared" ref="M598" si="447">M596</f>
        <v xml:space="preserve">F_PROFILE(f,th,i) = </v>
      </c>
      <c r="N598" t="s">
        <v>300</v>
      </c>
      <c r="S598">
        <f t="shared" ref="S598" si="448">$S$400+S210</f>
        <v>8.1391800000000014E-2</v>
      </c>
      <c r="V598">
        <f t="shared" ref="V598" si="449">S598/2</f>
        <v>4.0695900000000007E-2</v>
      </c>
    </row>
    <row r="599" spans="11:22" x14ac:dyDescent="0.25">
      <c r="K599" t="str">
        <f t="shared" ref="K599:M599" si="450">K597</f>
        <v>else if(flow_time &lt;=</v>
      </c>
      <c r="L599" t="str">
        <f t="shared" si="450"/>
        <v>0.0538908</v>
      </c>
      <c r="M599" t="str">
        <f t="shared" si="450"/>
        <v>)</v>
      </c>
    </row>
    <row r="600" spans="11:22" x14ac:dyDescent="0.25">
      <c r="M600" t="str">
        <f t="shared" ref="M600" si="451">M598</f>
        <v xml:space="preserve">F_PROFILE(f,th,i) = </v>
      </c>
      <c r="N600" t="s">
        <v>242</v>
      </c>
      <c r="S600">
        <f t="shared" si="444"/>
        <v>8.1669600000000009E-2</v>
      </c>
      <c r="V600">
        <f t="shared" ref="V600" si="452">S600/2</f>
        <v>4.0834800000000004E-2</v>
      </c>
    </row>
    <row r="601" spans="11:22" x14ac:dyDescent="0.25">
      <c r="K601" t="str">
        <f t="shared" ref="K601:M601" si="453">K599</f>
        <v>else if(flow_time &lt;=</v>
      </c>
      <c r="L601" t="str">
        <f t="shared" si="453"/>
        <v>0.0538908</v>
      </c>
      <c r="M601" t="str">
        <f t="shared" si="453"/>
        <v>)</v>
      </c>
    </row>
    <row r="602" spans="11:22" x14ac:dyDescent="0.25">
      <c r="M602" t="str">
        <f t="shared" ref="M602" si="454">M600</f>
        <v xml:space="preserve">F_PROFILE(f,th,i) = </v>
      </c>
      <c r="N602" t="s">
        <v>242</v>
      </c>
      <c r="S602">
        <f t="shared" ref="S602" si="455">$S$400+S214</f>
        <v>8.1947400000000059E-2</v>
      </c>
      <c r="V602">
        <f t="shared" ref="V602" si="456">S602/2</f>
        <v>4.097370000000003E-2</v>
      </c>
    </row>
    <row r="603" spans="11:22" x14ac:dyDescent="0.25">
      <c r="K603" t="str">
        <f t="shared" ref="K603:M603" si="457">K601</f>
        <v>else if(flow_time &lt;=</v>
      </c>
      <c r="L603" t="str">
        <f t="shared" si="457"/>
        <v>0.0538908</v>
      </c>
      <c r="M603" t="str">
        <f t="shared" si="457"/>
        <v>)</v>
      </c>
    </row>
    <row r="604" spans="11:22" x14ac:dyDescent="0.25">
      <c r="M604" t="str">
        <f t="shared" ref="M604" si="458">M602</f>
        <v xml:space="preserve">F_PROFILE(f,th,i) = </v>
      </c>
      <c r="N604" t="s">
        <v>242</v>
      </c>
      <c r="S604">
        <f t="shared" si="444"/>
        <v>8.2225200000000054E-2</v>
      </c>
      <c r="V604">
        <f t="shared" ref="V604" si="459">S604/2</f>
        <v>4.1112600000000027E-2</v>
      </c>
    </row>
    <row r="605" spans="11:22" x14ac:dyDescent="0.25">
      <c r="K605" t="str">
        <f t="shared" ref="K605:M605" si="460">K603</f>
        <v>else if(flow_time &lt;=</v>
      </c>
      <c r="L605" t="str">
        <f t="shared" si="460"/>
        <v>0.0538908</v>
      </c>
      <c r="M605" t="str">
        <f t="shared" si="460"/>
        <v>)</v>
      </c>
    </row>
    <row r="606" spans="11:22" x14ac:dyDescent="0.25">
      <c r="M606" t="str">
        <f t="shared" ref="M606" si="461">M604</f>
        <v xml:space="preserve">F_PROFILE(f,th,i) = </v>
      </c>
      <c r="N606" t="s">
        <v>242</v>
      </c>
      <c r="S606">
        <f t="shared" ref="S606" si="462">$S$400+S218</f>
        <v>8.2503000000000049E-2</v>
      </c>
      <c r="V606">
        <f t="shared" ref="V606" si="463">S606/2</f>
        <v>4.1251500000000024E-2</v>
      </c>
    </row>
    <row r="607" spans="11:22" x14ac:dyDescent="0.25">
      <c r="K607" t="str">
        <f t="shared" ref="K607:M607" si="464">K605</f>
        <v>else if(flow_time &lt;=</v>
      </c>
      <c r="L607" t="str">
        <f t="shared" si="464"/>
        <v>0.0538908</v>
      </c>
      <c r="M607" t="str">
        <f t="shared" si="464"/>
        <v>)</v>
      </c>
    </row>
    <row r="608" spans="11:22" x14ac:dyDescent="0.25">
      <c r="M608" t="str">
        <f t="shared" ref="M608" si="465">M606</f>
        <v xml:space="preserve">F_PROFILE(f,th,i) = </v>
      </c>
      <c r="N608" t="s">
        <v>242</v>
      </c>
      <c r="S608">
        <f t="shared" si="444"/>
        <v>8.278070000000004E-2</v>
      </c>
      <c r="V608">
        <f t="shared" ref="V608" si="466">S608/2</f>
        <v>4.139035000000002E-2</v>
      </c>
    </row>
    <row r="609" spans="11:22" x14ac:dyDescent="0.25">
      <c r="K609" t="str">
        <f t="shared" ref="K609:M609" si="467">K607</f>
        <v>else if(flow_time &lt;=</v>
      </c>
      <c r="L609" t="str">
        <f t="shared" si="467"/>
        <v>0.0538908</v>
      </c>
      <c r="M609" t="str">
        <f t="shared" si="467"/>
        <v>)</v>
      </c>
    </row>
    <row r="610" spans="11:22" x14ac:dyDescent="0.25">
      <c r="M610" t="str">
        <f t="shared" ref="M610" si="468">M608</f>
        <v xml:space="preserve">F_PROFILE(f,th,i) = </v>
      </c>
      <c r="N610" t="s">
        <v>242</v>
      </c>
      <c r="S610">
        <f t="shared" ref="S610" si="469">$S$400+S222</f>
        <v>8.3058500000000035E-2</v>
      </c>
      <c r="V610">
        <f t="shared" ref="V610" si="470">S610/2</f>
        <v>4.1529250000000018E-2</v>
      </c>
    </row>
    <row r="611" spans="11:22" x14ac:dyDescent="0.25">
      <c r="K611" t="str">
        <f t="shared" ref="K611:M611" si="471">K609</f>
        <v>else if(flow_time &lt;=</v>
      </c>
      <c r="L611" t="str">
        <f t="shared" si="471"/>
        <v>0.0538908</v>
      </c>
      <c r="M611" t="str">
        <f t="shared" si="471"/>
        <v>)</v>
      </c>
    </row>
    <row r="612" spans="11:22" x14ac:dyDescent="0.25">
      <c r="M612" t="str">
        <f t="shared" ref="M612" si="472">M610</f>
        <v xml:space="preserve">F_PROFILE(f,th,i) = </v>
      </c>
      <c r="N612" t="s">
        <v>242</v>
      </c>
      <c r="S612">
        <f t="shared" si="444"/>
        <v>8.333630000000003E-2</v>
      </c>
      <c r="V612">
        <f t="shared" ref="V612" si="473">S612/2</f>
        <v>4.1668150000000015E-2</v>
      </c>
    </row>
    <row r="613" spans="11:22" x14ac:dyDescent="0.25">
      <c r="K613" t="str">
        <f t="shared" ref="K613:M613" si="474">K611</f>
        <v>else if(flow_time &lt;=</v>
      </c>
      <c r="L613" t="str">
        <f t="shared" si="474"/>
        <v>0.0538908</v>
      </c>
      <c r="M613" t="str">
        <f t="shared" si="474"/>
        <v>)</v>
      </c>
    </row>
    <row r="614" spans="11:22" x14ac:dyDescent="0.25">
      <c r="M614" t="str">
        <f t="shared" ref="M614" si="475">M612</f>
        <v xml:space="preserve">F_PROFILE(f,th,i) = </v>
      </c>
      <c r="N614" t="s">
        <v>242</v>
      </c>
      <c r="S614">
        <f t="shared" ref="S614" si="476">$S$400+S226</f>
        <v>8.3614100000000025E-2</v>
      </c>
      <c r="V614">
        <f t="shared" ref="V614" si="477">S614/2</f>
        <v>4.1807050000000012E-2</v>
      </c>
    </row>
    <row r="615" spans="11:22" x14ac:dyDescent="0.25">
      <c r="K615" t="str">
        <f t="shared" ref="K615:M615" si="478">K613</f>
        <v>else if(flow_time &lt;=</v>
      </c>
      <c r="L615" t="str">
        <f t="shared" si="478"/>
        <v>0.0538908</v>
      </c>
      <c r="M615" t="str">
        <f t="shared" si="478"/>
        <v>)</v>
      </c>
    </row>
    <row r="616" spans="11:22" x14ac:dyDescent="0.25">
      <c r="M616" t="str">
        <f t="shared" ref="M616" si="479">M614</f>
        <v xml:space="preserve">F_PROFILE(f,th,i) = </v>
      </c>
      <c r="N616" t="s">
        <v>242</v>
      </c>
      <c r="S616">
        <f t="shared" si="444"/>
        <v>8.3891900000000019E-2</v>
      </c>
      <c r="V616">
        <f t="shared" ref="V616" si="480">S616/2</f>
        <v>4.194595000000001E-2</v>
      </c>
    </row>
    <row r="617" spans="11:22" x14ac:dyDescent="0.25">
      <c r="K617" t="str">
        <f t="shared" ref="K617:M617" si="481">K615</f>
        <v>else if(flow_time &lt;=</v>
      </c>
      <c r="L617" t="str">
        <f t="shared" si="481"/>
        <v>0.0538908</v>
      </c>
      <c r="M617" t="str">
        <f t="shared" si="481"/>
        <v>)</v>
      </c>
    </row>
    <row r="618" spans="11:22" x14ac:dyDescent="0.25">
      <c r="M618" t="str">
        <f t="shared" ref="M618" si="482">M616</f>
        <v xml:space="preserve">F_PROFILE(f,th,i) = </v>
      </c>
      <c r="N618" t="s">
        <v>242</v>
      </c>
      <c r="S618">
        <f t="shared" ref="S618" si="483">$S$400+S230</f>
        <v>8.4169700000000014E-2</v>
      </c>
      <c r="V618">
        <f t="shared" ref="V618" si="484">S618/2</f>
        <v>4.2084850000000007E-2</v>
      </c>
    </row>
    <row r="619" spans="11:22" x14ac:dyDescent="0.25">
      <c r="K619" t="str">
        <f t="shared" ref="K619:M619" si="485">K617</f>
        <v>else if(flow_time &lt;=</v>
      </c>
      <c r="L619" t="str">
        <f t="shared" si="485"/>
        <v>0.0538908</v>
      </c>
      <c r="M619" t="str">
        <f t="shared" si="485"/>
        <v>)</v>
      </c>
    </row>
    <row r="620" spans="11:22" x14ac:dyDescent="0.25">
      <c r="M620" t="str">
        <f t="shared" ref="M620" si="486">M618</f>
        <v xml:space="preserve">F_PROFILE(f,th,i) = </v>
      </c>
      <c r="N620" t="s">
        <v>242</v>
      </c>
      <c r="S620">
        <f t="shared" si="444"/>
        <v>8.4447500000000009E-2</v>
      </c>
      <c r="V620">
        <f t="shared" ref="V620" si="487">S620/2</f>
        <v>4.2223750000000004E-2</v>
      </c>
    </row>
    <row r="621" spans="11:22" x14ac:dyDescent="0.25">
      <c r="K621" t="str">
        <f t="shared" ref="K621:M621" si="488">K619</f>
        <v>else if(flow_time &lt;=</v>
      </c>
      <c r="L621" t="str">
        <f t="shared" si="488"/>
        <v>0.0538908</v>
      </c>
      <c r="M621" t="str">
        <f t="shared" si="488"/>
        <v>)</v>
      </c>
    </row>
    <row r="622" spans="11:22" x14ac:dyDescent="0.25">
      <c r="M622" t="str">
        <f t="shared" ref="M622" si="489">M620</f>
        <v xml:space="preserve">F_PROFILE(f,th,i) = </v>
      </c>
      <c r="N622" t="s">
        <v>242</v>
      </c>
      <c r="S622">
        <f t="shared" ref="S622" si="490">$S$400+S234</f>
        <v>8.4725300000000059E-2</v>
      </c>
      <c r="V622">
        <f t="shared" ref="V622" si="491">S622/2</f>
        <v>4.2362650000000029E-2</v>
      </c>
    </row>
    <row r="623" spans="11:22" x14ac:dyDescent="0.25">
      <c r="K623" t="str">
        <f t="shared" ref="K623:M623" si="492">K621</f>
        <v>else if(flow_time &lt;=</v>
      </c>
      <c r="L623" t="str">
        <f t="shared" si="492"/>
        <v>0.0538908</v>
      </c>
      <c r="M623" t="str">
        <f t="shared" si="492"/>
        <v>)</v>
      </c>
    </row>
    <row r="624" spans="11:22" x14ac:dyDescent="0.25">
      <c r="M624" t="str">
        <f t="shared" ref="M624" si="493">M622</f>
        <v xml:space="preserve">F_PROFILE(f,th,i) = </v>
      </c>
      <c r="N624" t="s">
        <v>242</v>
      </c>
      <c r="S624">
        <f t="shared" si="444"/>
        <v>8.5003000000000051E-2</v>
      </c>
      <c r="V624">
        <f t="shared" ref="V624" si="494">S624/2</f>
        <v>4.2501500000000025E-2</v>
      </c>
    </row>
    <row r="625" spans="11:22" x14ac:dyDescent="0.25">
      <c r="K625" t="str">
        <f t="shared" ref="K625:M625" si="495">K623</f>
        <v>else if(flow_time &lt;=</v>
      </c>
      <c r="L625" t="str">
        <f t="shared" si="495"/>
        <v>0.0538908</v>
      </c>
      <c r="M625" t="str">
        <f t="shared" si="495"/>
        <v>)</v>
      </c>
    </row>
    <row r="626" spans="11:22" x14ac:dyDescent="0.25">
      <c r="M626" t="str">
        <f t="shared" ref="M626" si="496">M624</f>
        <v xml:space="preserve">F_PROFILE(f,th,i) = </v>
      </c>
      <c r="N626" t="s">
        <v>242</v>
      </c>
      <c r="S626">
        <f t="shared" ref="S626" si="497">$S$400+S238</f>
        <v>8.5280800000000045E-2</v>
      </c>
      <c r="V626">
        <f t="shared" ref="V626" si="498">S626/2</f>
        <v>4.2640400000000023E-2</v>
      </c>
    </row>
    <row r="627" spans="11:22" x14ac:dyDescent="0.25">
      <c r="K627" t="str">
        <f t="shared" ref="K627:M627" si="499">K625</f>
        <v>else if(flow_time &lt;=</v>
      </c>
      <c r="L627" t="str">
        <f t="shared" si="499"/>
        <v>0.0538908</v>
      </c>
      <c r="M627" t="str">
        <f t="shared" si="499"/>
        <v>)</v>
      </c>
    </row>
    <row r="628" spans="11:22" x14ac:dyDescent="0.25">
      <c r="M628" t="str">
        <f t="shared" ref="M628" si="500">M626</f>
        <v xml:space="preserve">F_PROFILE(f,th,i) = </v>
      </c>
      <c r="N628" t="s">
        <v>242</v>
      </c>
      <c r="S628">
        <f t="shared" si="444"/>
        <v>8.555860000000004E-2</v>
      </c>
      <c r="V628">
        <f t="shared" ref="V628" si="501">S628/2</f>
        <v>4.277930000000002E-2</v>
      </c>
    </row>
    <row r="629" spans="11:22" x14ac:dyDescent="0.25">
      <c r="K629" t="str">
        <f t="shared" ref="K629:M629" si="502">K627</f>
        <v>else if(flow_time &lt;=</v>
      </c>
      <c r="L629" t="str">
        <f t="shared" si="502"/>
        <v>0.0538908</v>
      </c>
      <c r="M629" t="str">
        <f t="shared" si="502"/>
        <v>)</v>
      </c>
    </row>
    <row r="630" spans="11:22" x14ac:dyDescent="0.25">
      <c r="M630" t="str">
        <f t="shared" ref="M630" si="503">M628</f>
        <v xml:space="preserve">F_PROFILE(f,th,i) = </v>
      </c>
      <c r="N630" t="s">
        <v>242</v>
      </c>
      <c r="S630">
        <f t="shared" ref="S630:S690" si="504">$S$400+S242</f>
        <v>8.5836400000000035E-2</v>
      </c>
      <c r="V630">
        <f t="shared" ref="V630" si="505">S630/2</f>
        <v>4.2918200000000017E-2</v>
      </c>
    </row>
    <row r="631" spans="11:22" x14ac:dyDescent="0.25">
      <c r="K631" t="str">
        <f t="shared" ref="K631:M631" si="506">K629</f>
        <v>else if(flow_time &lt;=</v>
      </c>
      <c r="L631" t="str">
        <f t="shared" si="506"/>
        <v>0.0538908</v>
      </c>
      <c r="M631" t="str">
        <f t="shared" si="506"/>
        <v>)</v>
      </c>
    </row>
    <row r="632" spans="11:22" x14ac:dyDescent="0.25">
      <c r="M632" t="str">
        <f t="shared" ref="M632" si="507">M630</f>
        <v xml:space="preserve">F_PROFILE(f,th,i) = </v>
      </c>
      <c r="N632" t="s">
        <v>242</v>
      </c>
      <c r="S632">
        <f t="shared" ref="S632:S692" si="508">$S$400+S244</f>
        <v>8.611420000000003E-2</v>
      </c>
      <c r="V632">
        <f t="shared" ref="V632" si="509">S632/2</f>
        <v>4.3057100000000015E-2</v>
      </c>
    </row>
    <row r="633" spans="11:22" x14ac:dyDescent="0.25">
      <c r="K633" t="str">
        <f t="shared" ref="K633:M633" si="510">K631</f>
        <v>else if(flow_time &lt;=</v>
      </c>
      <c r="L633" t="str">
        <f t="shared" si="510"/>
        <v>0.0538908</v>
      </c>
      <c r="M633" t="str">
        <f t="shared" si="510"/>
        <v>)</v>
      </c>
    </row>
    <row r="634" spans="11:22" x14ac:dyDescent="0.25">
      <c r="M634" t="str">
        <f t="shared" ref="M634" si="511">M632</f>
        <v xml:space="preserve">F_PROFILE(f,th,i) = </v>
      </c>
      <c r="N634" t="s">
        <v>242</v>
      </c>
      <c r="S634">
        <f t="shared" si="504"/>
        <v>8.6392000000000024E-2</v>
      </c>
      <c r="V634">
        <f t="shared" ref="V634" si="512">S634/2</f>
        <v>4.3196000000000012E-2</v>
      </c>
    </row>
    <row r="635" spans="11:22" x14ac:dyDescent="0.25">
      <c r="K635" t="str">
        <f t="shared" ref="K635:M635" si="513">K633</f>
        <v>else if(flow_time &lt;=</v>
      </c>
      <c r="L635" t="str">
        <f t="shared" si="513"/>
        <v>0.0538908</v>
      </c>
      <c r="M635" t="str">
        <f t="shared" si="513"/>
        <v>)</v>
      </c>
    </row>
    <row r="636" spans="11:22" x14ac:dyDescent="0.25">
      <c r="M636" t="str">
        <f t="shared" ref="M636" si="514">M634</f>
        <v xml:space="preserve">F_PROFILE(f,th,i) = </v>
      </c>
      <c r="N636" t="s">
        <v>242</v>
      </c>
      <c r="S636">
        <f t="shared" si="508"/>
        <v>8.6669800000000019E-2</v>
      </c>
      <c r="V636">
        <f t="shared" ref="V636" si="515">S636/2</f>
        <v>4.333490000000001E-2</v>
      </c>
    </row>
    <row r="637" spans="11:22" x14ac:dyDescent="0.25">
      <c r="K637" t="str">
        <f t="shared" ref="K637:M637" si="516">K635</f>
        <v>else if(flow_time &lt;=</v>
      </c>
      <c r="L637" t="str">
        <f t="shared" si="516"/>
        <v>0.0538908</v>
      </c>
      <c r="M637" t="str">
        <f t="shared" si="516"/>
        <v>)</v>
      </c>
    </row>
    <row r="638" spans="11:22" x14ac:dyDescent="0.25">
      <c r="M638" t="str">
        <f t="shared" ref="M638" si="517">M636</f>
        <v xml:space="preserve">F_PROFILE(f,th,i) = </v>
      </c>
      <c r="N638" t="s">
        <v>242</v>
      </c>
      <c r="S638">
        <f t="shared" si="504"/>
        <v>8.6947500000000011E-2</v>
      </c>
      <c r="V638">
        <f t="shared" ref="V638" si="518">S638/2</f>
        <v>4.3473750000000005E-2</v>
      </c>
    </row>
    <row r="639" spans="11:22" x14ac:dyDescent="0.25">
      <c r="K639" t="str">
        <f t="shared" ref="K639:M639" si="519">K637</f>
        <v>else if(flow_time &lt;=</v>
      </c>
      <c r="L639" t="str">
        <f t="shared" si="519"/>
        <v>0.0538908</v>
      </c>
      <c r="M639" t="str">
        <f t="shared" si="519"/>
        <v>)</v>
      </c>
    </row>
    <row r="640" spans="11:22" x14ac:dyDescent="0.25">
      <c r="M640" t="str">
        <f t="shared" ref="M640" si="520">M638</f>
        <v xml:space="preserve">F_PROFILE(f,th,i) = </v>
      </c>
      <c r="N640" t="s">
        <v>242</v>
      </c>
      <c r="S640">
        <f t="shared" si="508"/>
        <v>8.7225300000000061E-2</v>
      </c>
      <c r="V640">
        <f t="shared" ref="V640" si="521">S640/2</f>
        <v>4.3612650000000031E-2</v>
      </c>
    </row>
    <row r="641" spans="11:22" x14ac:dyDescent="0.25">
      <c r="K641" t="str">
        <f t="shared" ref="K641:M641" si="522">K639</f>
        <v>else if(flow_time &lt;=</v>
      </c>
      <c r="L641" t="str">
        <f t="shared" si="522"/>
        <v>0.0538908</v>
      </c>
      <c r="M641" t="str">
        <f t="shared" si="522"/>
        <v>)</v>
      </c>
    </row>
    <row r="642" spans="11:22" x14ac:dyDescent="0.25">
      <c r="M642" t="str">
        <f t="shared" ref="M642" si="523">M640</f>
        <v xml:space="preserve">F_PROFILE(f,th,i) = </v>
      </c>
      <c r="N642" t="s">
        <v>242</v>
      </c>
      <c r="S642">
        <f t="shared" si="504"/>
        <v>8.7503100000000056E-2</v>
      </c>
      <c r="V642">
        <f t="shared" ref="V642" si="524">S642/2</f>
        <v>4.3751550000000028E-2</v>
      </c>
    </row>
    <row r="643" spans="11:22" x14ac:dyDescent="0.25">
      <c r="K643" t="str">
        <f t="shared" ref="K643:M643" si="525">K641</f>
        <v>else if(flow_time &lt;=</v>
      </c>
      <c r="L643" t="str">
        <f t="shared" si="525"/>
        <v>0.0538908</v>
      </c>
      <c r="M643" t="str">
        <f t="shared" si="525"/>
        <v>)</v>
      </c>
    </row>
    <row r="644" spans="11:22" x14ac:dyDescent="0.25">
      <c r="M644" t="str">
        <f t="shared" ref="M644" si="526">M642</f>
        <v xml:space="preserve">F_PROFILE(f,th,i) = </v>
      </c>
      <c r="N644" t="s">
        <v>242</v>
      </c>
      <c r="S644">
        <f t="shared" si="508"/>
        <v>8.7780900000000051E-2</v>
      </c>
      <c r="V644">
        <f t="shared" ref="V644" si="527">S644/2</f>
        <v>4.3890450000000025E-2</v>
      </c>
    </row>
    <row r="645" spans="11:22" x14ac:dyDescent="0.25">
      <c r="K645" t="str">
        <f t="shared" ref="K645:M645" si="528">K643</f>
        <v>else if(flow_time &lt;=</v>
      </c>
      <c r="L645" t="str">
        <f t="shared" si="528"/>
        <v>0.0538908</v>
      </c>
      <c r="M645" t="str">
        <f t="shared" si="528"/>
        <v>)</v>
      </c>
    </row>
    <row r="646" spans="11:22" x14ac:dyDescent="0.25">
      <c r="M646" t="str">
        <f t="shared" ref="M646" si="529">M644</f>
        <v xml:space="preserve">F_PROFILE(f,th,i) = </v>
      </c>
      <c r="N646" t="s">
        <v>242</v>
      </c>
      <c r="S646">
        <f t="shared" si="504"/>
        <v>8.8058700000000045E-2</v>
      </c>
      <c r="V646">
        <f t="shared" ref="V646" si="530">S646/2</f>
        <v>4.4029350000000023E-2</v>
      </c>
    </row>
    <row r="647" spans="11:22" x14ac:dyDescent="0.25">
      <c r="K647" t="str">
        <f t="shared" ref="K647:M647" si="531">K645</f>
        <v>else if(flow_time &lt;=</v>
      </c>
      <c r="L647" t="str">
        <f t="shared" si="531"/>
        <v>0.0538908</v>
      </c>
      <c r="M647" t="str">
        <f t="shared" si="531"/>
        <v>)</v>
      </c>
    </row>
    <row r="648" spans="11:22" x14ac:dyDescent="0.25">
      <c r="M648" t="str">
        <f t="shared" ref="M648" si="532">M646</f>
        <v xml:space="preserve">F_PROFILE(f,th,i) = </v>
      </c>
      <c r="N648" t="s">
        <v>242</v>
      </c>
      <c r="S648">
        <f t="shared" si="508"/>
        <v>8.833650000000004E-2</v>
      </c>
      <c r="V648">
        <f t="shared" ref="V648" si="533">S648/2</f>
        <v>4.416825000000002E-2</v>
      </c>
    </row>
    <row r="649" spans="11:22" x14ac:dyDescent="0.25">
      <c r="K649" t="str">
        <f t="shared" ref="K649:M649" si="534">K647</f>
        <v>else if(flow_time &lt;=</v>
      </c>
      <c r="L649" t="str">
        <f t="shared" si="534"/>
        <v>0.0538908</v>
      </c>
      <c r="M649" t="str">
        <f t="shared" si="534"/>
        <v>)</v>
      </c>
    </row>
    <row r="650" spans="11:22" x14ac:dyDescent="0.25">
      <c r="M650" t="str">
        <f t="shared" ref="M650" si="535">M648</f>
        <v xml:space="preserve">F_PROFILE(f,th,i) = </v>
      </c>
      <c r="N650" t="s">
        <v>242</v>
      </c>
      <c r="S650">
        <f t="shared" si="504"/>
        <v>8.8614300000000035E-2</v>
      </c>
      <c r="V650">
        <f t="shared" ref="V650" si="536">S650/2</f>
        <v>4.4307150000000017E-2</v>
      </c>
    </row>
    <row r="651" spans="11:22" x14ac:dyDescent="0.25">
      <c r="K651" t="str">
        <f t="shared" ref="K651:M651" si="537">K649</f>
        <v>else if(flow_time &lt;=</v>
      </c>
      <c r="L651" t="str">
        <f t="shared" si="537"/>
        <v>0.0538908</v>
      </c>
      <c r="M651" t="str">
        <f t="shared" si="537"/>
        <v>)</v>
      </c>
    </row>
    <row r="652" spans="11:22" x14ac:dyDescent="0.25">
      <c r="M652" t="str">
        <f t="shared" ref="M652" si="538">M650</f>
        <v xml:space="preserve">F_PROFILE(f,th,i) = </v>
      </c>
      <c r="N652" t="s">
        <v>242</v>
      </c>
      <c r="S652">
        <f t="shared" si="508"/>
        <v>8.8892100000000029E-2</v>
      </c>
      <c r="V652">
        <f t="shared" ref="V652" si="539">S652/2</f>
        <v>4.4446050000000015E-2</v>
      </c>
    </row>
    <row r="653" spans="11:22" x14ac:dyDescent="0.25">
      <c r="K653" t="str">
        <f t="shared" ref="K653:M653" si="540">K651</f>
        <v>else if(flow_time &lt;=</v>
      </c>
      <c r="L653" t="str">
        <f t="shared" si="540"/>
        <v>0.0538908</v>
      </c>
      <c r="M653" t="str">
        <f t="shared" si="540"/>
        <v>)</v>
      </c>
    </row>
    <row r="654" spans="11:22" x14ac:dyDescent="0.25">
      <c r="M654" t="str">
        <f t="shared" ref="M654" si="541">M652</f>
        <v xml:space="preserve">F_PROFILE(f,th,i) = </v>
      </c>
      <c r="N654" t="s">
        <v>242</v>
      </c>
      <c r="S654">
        <f t="shared" si="504"/>
        <v>8.9169800000000021E-2</v>
      </c>
      <c r="V654">
        <f t="shared" ref="V654" si="542">S654/2</f>
        <v>4.4584900000000011E-2</v>
      </c>
    </row>
    <row r="655" spans="11:22" x14ac:dyDescent="0.25">
      <c r="K655" t="str">
        <f t="shared" ref="K655:M655" si="543">K653</f>
        <v>else if(flow_time &lt;=</v>
      </c>
      <c r="L655" t="str">
        <f t="shared" si="543"/>
        <v>0.0538908</v>
      </c>
      <c r="M655" t="str">
        <f t="shared" si="543"/>
        <v>)</v>
      </c>
    </row>
    <row r="656" spans="11:22" x14ac:dyDescent="0.25">
      <c r="M656" t="str">
        <f t="shared" ref="M656" si="544">M654</f>
        <v xml:space="preserve">F_PROFILE(f,th,i) = </v>
      </c>
      <c r="N656" t="s">
        <v>242</v>
      </c>
      <c r="S656">
        <f t="shared" si="508"/>
        <v>8.9447600000000016E-2</v>
      </c>
      <c r="V656">
        <f t="shared" ref="V656" si="545">S656/2</f>
        <v>4.4723800000000008E-2</v>
      </c>
    </row>
    <row r="657" spans="11:22" x14ac:dyDescent="0.25">
      <c r="K657" t="str">
        <f t="shared" ref="K657:M657" si="546">K655</f>
        <v>else if(flow_time &lt;=</v>
      </c>
      <c r="L657" t="str">
        <f t="shared" si="546"/>
        <v>0.0538908</v>
      </c>
      <c r="M657" t="str">
        <f t="shared" si="546"/>
        <v>)</v>
      </c>
    </row>
    <row r="658" spans="11:22" x14ac:dyDescent="0.25">
      <c r="M658" t="str">
        <f t="shared" ref="M658" si="547">M656</f>
        <v xml:space="preserve">F_PROFILE(f,th,i) = </v>
      </c>
      <c r="N658" t="s">
        <v>242</v>
      </c>
      <c r="S658">
        <f t="shared" si="504"/>
        <v>8.9725400000000011E-2</v>
      </c>
      <c r="V658">
        <f t="shared" ref="V658" si="548">S658/2</f>
        <v>4.4862700000000005E-2</v>
      </c>
    </row>
    <row r="659" spans="11:22" x14ac:dyDescent="0.25">
      <c r="K659" t="str">
        <f t="shared" ref="K659:M659" si="549">K657</f>
        <v>else if(flow_time &lt;=</v>
      </c>
      <c r="L659" t="str">
        <f t="shared" si="549"/>
        <v>0.0538908</v>
      </c>
      <c r="M659" t="str">
        <f t="shared" si="549"/>
        <v>)</v>
      </c>
    </row>
    <row r="660" spans="11:22" x14ac:dyDescent="0.25">
      <c r="M660" t="str">
        <f t="shared" ref="M660" si="550">M658</f>
        <v xml:space="preserve">F_PROFILE(f,th,i) = </v>
      </c>
      <c r="N660" t="s">
        <v>242</v>
      </c>
      <c r="S660">
        <f t="shared" si="508"/>
        <v>9.0003200000000061E-2</v>
      </c>
      <c r="V660">
        <f t="shared" ref="V660" si="551">S660/2</f>
        <v>4.500160000000003E-2</v>
      </c>
    </row>
    <row r="661" spans="11:22" x14ac:dyDescent="0.25">
      <c r="K661" t="str">
        <f t="shared" ref="K661:M661" si="552">K659</f>
        <v>else if(flow_time &lt;=</v>
      </c>
      <c r="L661" t="str">
        <f t="shared" si="552"/>
        <v>0.0538908</v>
      </c>
      <c r="M661" t="str">
        <f t="shared" si="552"/>
        <v>)</v>
      </c>
    </row>
    <row r="662" spans="11:22" x14ac:dyDescent="0.25">
      <c r="M662" t="str">
        <f t="shared" ref="M662" si="553">M660</f>
        <v xml:space="preserve">F_PROFILE(f,th,i) = </v>
      </c>
      <c r="N662" t="s">
        <v>242</v>
      </c>
      <c r="S662">
        <f t="shared" si="504"/>
        <v>9.0281000000000056E-2</v>
      </c>
      <c r="V662">
        <f t="shared" ref="V662" si="554">S662/2</f>
        <v>4.5140500000000028E-2</v>
      </c>
    </row>
    <row r="663" spans="11:22" x14ac:dyDescent="0.25">
      <c r="K663" t="str">
        <f t="shared" ref="K663:M663" si="555">K661</f>
        <v>else if(flow_time &lt;=</v>
      </c>
      <c r="L663" t="str">
        <f t="shared" si="555"/>
        <v>0.0538908</v>
      </c>
      <c r="M663" t="str">
        <f t="shared" si="555"/>
        <v>)</v>
      </c>
    </row>
    <row r="664" spans="11:22" x14ac:dyDescent="0.25">
      <c r="M664" t="str">
        <f t="shared" ref="M664" si="556">M662</f>
        <v xml:space="preserve">F_PROFILE(f,th,i) = </v>
      </c>
      <c r="N664" t="s">
        <v>242</v>
      </c>
      <c r="S664">
        <f t="shared" si="508"/>
        <v>9.055880000000005E-2</v>
      </c>
      <c r="V664">
        <f t="shared" ref="V664" si="557">S664/2</f>
        <v>4.5279400000000025E-2</v>
      </c>
    </row>
    <row r="665" spans="11:22" x14ac:dyDescent="0.25">
      <c r="K665" t="str">
        <f t="shared" ref="K665:M665" si="558">K663</f>
        <v>else if(flow_time &lt;=</v>
      </c>
      <c r="L665" t="str">
        <f t="shared" si="558"/>
        <v>0.0538908</v>
      </c>
      <c r="M665" t="str">
        <f t="shared" si="558"/>
        <v>)</v>
      </c>
    </row>
    <row r="666" spans="11:22" x14ac:dyDescent="0.25">
      <c r="M666" t="str">
        <f t="shared" ref="M666" si="559">M664</f>
        <v xml:space="preserve">F_PROFILE(f,th,i) = </v>
      </c>
      <c r="N666" t="s">
        <v>242</v>
      </c>
      <c r="S666">
        <f t="shared" si="504"/>
        <v>9.0836600000000045E-2</v>
      </c>
      <c r="V666">
        <f t="shared" ref="V666" si="560">S666/2</f>
        <v>4.5418300000000023E-2</v>
      </c>
    </row>
    <row r="667" spans="11:22" x14ac:dyDescent="0.25">
      <c r="K667" t="str">
        <f t="shared" ref="K667:M667" si="561">K665</f>
        <v>else if(flow_time &lt;=</v>
      </c>
      <c r="L667" t="str">
        <f t="shared" si="561"/>
        <v>0.0538908</v>
      </c>
      <c r="M667" t="str">
        <f t="shared" si="561"/>
        <v>)</v>
      </c>
    </row>
    <row r="668" spans="11:22" x14ac:dyDescent="0.25">
      <c r="M668" t="str">
        <f t="shared" ref="M668" si="562">M666</f>
        <v xml:space="preserve">F_PROFILE(f,th,i) = </v>
      </c>
      <c r="N668" t="s">
        <v>242</v>
      </c>
      <c r="S668">
        <f t="shared" si="508"/>
        <v>9.111440000000004E-2</v>
      </c>
      <c r="V668">
        <f t="shared" ref="V668" si="563">S668/2</f>
        <v>4.555720000000002E-2</v>
      </c>
    </row>
    <row r="669" spans="11:22" x14ac:dyDescent="0.25">
      <c r="K669" t="str">
        <f t="shared" ref="K669:M669" si="564">K667</f>
        <v>else if(flow_time &lt;=</v>
      </c>
      <c r="L669" t="str">
        <f t="shared" si="564"/>
        <v>0.0538908</v>
      </c>
      <c r="M669" t="str">
        <f t="shared" si="564"/>
        <v>)</v>
      </c>
    </row>
    <row r="670" spans="11:22" x14ac:dyDescent="0.25">
      <c r="M670" t="str">
        <f t="shared" ref="M670" si="565">M668</f>
        <v xml:space="preserve">F_PROFILE(f,th,i) = </v>
      </c>
      <c r="N670" t="s">
        <v>242</v>
      </c>
      <c r="S670">
        <f t="shared" si="504"/>
        <v>9.1392100000000032E-2</v>
      </c>
      <c r="V670">
        <f t="shared" ref="V670" si="566">S670/2</f>
        <v>4.5696050000000016E-2</v>
      </c>
    </row>
    <row r="671" spans="11:22" x14ac:dyDescent="0.25">
      <c r="K671" t="str">
        <f t="shared" ref="K671:M671" si="567">K669</f>
        <v>else if(flow_time &lt;=</v>
      </c>
      <c r="L671" t="str">
        <f t="shared" si="567"/>
        <v>0.0538908</v>
      </c>
      <c r="M671" t="str">
        <f t="shared" si="567"/>
        <v>)</v>
      </c>
    </row>
    <row r="672" spans="11:22" x14ac:dyDescent="0.25">
      <c r="M672" t="str">
        <f t="shared" ref="M672" si="568">M670</f>
        <v xml:space="preserve">F_PROFILE(f,th,i) = </v>
      </c>
      <c r="N672" t="s">
        <v>242</v>
      </c>
      <c r="S672">
        <f t="shared" si="508"/>
        <v>9.1669900000000026E-2</v>
      </c>
      <c r="V672">
        <f t="shared" ref="V672" si="569">S672/2</f>
        <v>4.5834950000000013E-2</v>
      </c>
    </row>
    <row r="673" spans="11:22" x14ac:dyDescent="0.25">
      <c r="K673" t="str">
        <f t="shared" ref="K673:M673" si="570">K671</f>
        <v>else if(flow_time &lt;=</v>
      </c>
      <c r="L673" t="str">
        <f t="shared" si="570"/>
        <v>0.0538908</v>
      </c>
      <c r="M673" t="str">
        <f t="shared" si="570"/>
        <v>)</v>
      </c>
    </row>
    <row r="674" spans="11:22" x14ac:dyDescent="0.25">
      <c r="M674" t="str">
        <f t="shared" ref="M674" si="571">M672</f>
        <v xml:space="preserve">F_PROFILE(f,th,i) = </v>
      </c>
      <c r="N674" t="s">
        <v>242</v>
      </c>
      <c r="S674">
        <f t="shared" si="504"/>
        <v>9.1947700000000021E-2</v>
      </c>
      <c r="V674">
        <f t="shared" ref="V674" si="572">S674/2</f>
        <v>4.5973850000000011E-2</v>
      </c>
    </row>
    <row r="675" spans="11:22" x14ac:dyDescent="0.25">
      <c r="K675" t="str">
        <f t="shared" ref="K675:M675" si="573">K673</f>
        <v>else if(flow_time &lt;=</v>
      </c>
      <c r="L675" t="str">
        <f t="shared" si="573"/>
        <v>0.0538908</v>
      </c>
      <c r="M675" t="str">
        <f t="shared" si="573"/>
        <v>)</v>
      </c>
    </row>
    <row r="676" spans="11:22" x14ac:dyDescent="0.25">
      <c r="M676" t="str">
        <f t="shared" ref="M676" si="574">M674</f>
        <v xml:space="preserve">F_PROFILE(f,th,i) = </v>
      </c>
      <c r="N676" t="s">
        <v>242</v>
      </c>
      <c r="S676">
        <f t="shared" si="508"/>
        <v>9.2225500000000016E-2</v>
      </c>
      <c r="V676">
        <f t="shared" ref="V676" si="575">S676/2</f>
        <v>4.6112750000000008E-2</v>
      </c>
    </row>
    <row r="677" spans="11:22" x14ac:dyDescent="0.25">
      <c r="K677" t="str">
        <f t="shared" ref="K677:M677" si="576">K675</f>
        <v>else if(flow_time &lt;=</v>
      </c>
      <c r="L677" t="str">
        <f t="shared" si="576"/>
        <v>0.0538908</v>
      </c>
      <c r="M677" t="str">
        <f t="shared" si="576"/>
        <v>)</v>
      </c>
    </row>
    <row r="678" spans="11:22" x14ac:dyDescent="0.25">
      <c r="M678" t="str">
        <f t="shared" ref="M678" si="577">M676</f>
        <v xml:space="preserve">F_PROFILE(f,th,i) = </v>
      </c>
      <c r="N678" t="s">
        <v>242</v>
      </c>
      <c r="S678">
        <f t="shared" si="504"/>
        <v>9.2503300000000011E-2</v>
      </c>
      <c r="V678">
        <f t="shared" ref="V678" si="578">S678/2</f>
        <v>4.6251650000000005E-2</v>
      </c>
    </row>
    <row r="679" spans="11:22" x14ac:dyDescent="0.25">
      <c r="K679" t="str">
        <f t="shared" ref="K679:M679" si="579">K677</f>
        <v>else if(flow_time &lt;=</v>
      </c>
      <c r="L679" t="str">
        <f t="shared" si="579"/>
        <v>0.0538908</v>
      </c>
      <c r="M679" t="str">
        <f t="shared" si="579"/>
        <v>)</v>
      </c>
    </row>
    <row r="680" spans="11:22" x14ac:dyDescent="0.25">
      <c r="M680" t="str">
        <f t="shared" ref="M680" si="580">M678</f>
        <v xml:space="preserve">F_PROFILE(f,th,i) = </v>
      </c>
      <c r="N680" t="s">
        <v>242</v>
      </c>
      <c r="S680">
        <f t="shared" si="508"/>
        <v>9.2781100000000061E-2</v>
      </c>
      <c r="V680">
        <f t="shared" ref="V680" si="581">S680/2</f>
        <v>4.639055000000003E-2</v>
      </c>
    </row>
    <row r="681" spans="11:22" x14ac:dyDescent="0.25">
      <c r="K681" t="str">
        <f t="shared" ref="K681:M681" si="582">K679</f>
        <v>else if(flow_time &lt;=</v>
      </c>
      <c r="L681" t="str">
        <f t="shared" si="582"/>
        <v>0.0538908</v>
      </c>
      <c r="M681" t="str">
        <f t="shared" si="582"/>
        <v>)</v>
      </c>
    </row>
    <row r="682" spans="11:22" x14ac:dyDescent="0.25">
      <c r="M682" t="str">
        <f t="shared" ref="M682" si="583">M680</f>
        <v xml:space="preserve">F_PROFILE(f,th,i) = </v>
      </c>
      <c r="N682" t="s">
        <v>242</v>
      </c>
      <c r="S682">
        <f t="shared" si="504"/>
        <v>9.3058900000000055E-2</v>
      </c>
      <c r="V682">
        <f t="shared" ref="V682" si="584">S682/2</f>
        <v>4.6529450000000028E-2</v>
      </c>
    </row>
    <row r="683" spans="11:22" x14ac:dyDescent="0.25">
      <c r="K683" t="str">
        <f t="shared" ref="K683:M683" si="585">K681</f>
        <v>else if(flow_time &lt;=</v>
      </c>
      <c r="L683" t="str">
        <f t="shared" si="585"/>
        <v>0.0538908</v>
      </c>
      <c r="M683" t="str">
        <f t="shared" si="585"/>
        <v>)</v>
      </c>
    </row>
    <row r="684" spans="11:22" x14ac:dyDescent="0.25">
      <c r="M684" t="str">
        <f t="shared" ref="M684" si="586">M682</f>
        <v xml:space="preserve">F_PROFILE(f,th,i) = </v>
      </c>
      <c r="N684" t="s">
        <v>242</v>
      </c>
      <c r="S684">
        <f t="shared" si="508"/>
        <v>9.333670000000005E-2</v>
      </c>
      <c r="V684">
        <f t="shared" ref="V684" si="587">S684/2</f>
        <v>4.6668350000000025E-2</v>
      </c>
    </row>
    <row r="685" spans="11:22" x14ac:dyDescent="0.25">
      <c r="K685" t="str">
        <f t="shared" ref="K685:M685" si="588">K683</f>
        <v>else if(flow_time &lt;=</v>
      </c>
      <c r="L685" t="str">
        <f t="shared" si="588"/>
        <v>0.0538908</v>
      </c>
      <c r="M685" t="str">
        <f t="shared" si="588"/>
        <v>)</v>
      </c>
    </row>
    <row r="686" spans="11:22" x14ac:dyDescent="0.25">
      <c r="M686" t="str">
        <f t="shared" ref="M686" si="589">M684</f>
        <v xml:space="preserve">F_PROFILE(f,th,i) = </v>
      </c>
      <c r="N686" t="s">
        <v>301</v>
      </c>
      <c r="S686">
        <f t="shared" si="504"/>
        <v>9.3614400000000042E-2</v>
      </c>
      <c r="V686">
        <f t="shared" ref="V686" si="590">S686/2</f>
        <v>4.6807200000000021E-2</v>
      </c>
    </row>
    <row r="687" spans="11:22" x14ac:dyDescent="0.25">
      <c r="K687" t="str">
        <f t="shared" ref="K687:M687" si="591">K685</f>
        <v>else if(flow_time &lt;=</v>
      </c>
      <c r="L687" t="str">
        <f t="shared" si="591"/>
        <v>0.0538908</v>
      </c>
      <c r="M687" t="str">
        <f t="shared" si="591"/>
        <v>)</v>
      </c>
    </row>
    <row r="688" spans="11:22" x14ac:dyDescent="0.25">
      <c r="M688" t="str">
        <f t="shared" ref="M688" si="592">M686</f>
        <v xml:space="preserve">F_PROFILE(f,th,i) = </v>
      </c>
      <c r="N688" t="s">
        <v>302</v>
      </c>
      <c r="S688">
        <f t="shared" si="508"/>
        <v>9.3892200000000037E-2</v>
      </c>
      <c r="V688">
        <f t="shared" ref="V688" si="593">S688/2</f>
        <v>4.6946100000000018E-2</v>
      </c>
    </row>
    <row r="689" spans="11:22" x14ac:dyDescent="0.25">
      <c r="K689" t="str">
        <f t="shared" ref="K689:M689" si="594">K687</f>
        <v>else if(flow_time &lt;=</v>
      </c>
      <c r="L689" t="str">
        <f t="shared" si="594"/>
        <v>0.0538908</v>
      </c>
      <c r="M689" t="str">
        <f t="shared" si="594"/>
        <v>)</v>
      </c>
    </row>
    <row r="690" spans="11:22" x14ac:dyDescent="0.25">
      <c r="M690" t="str">
        <f t="shared" ref="M690" si="595">M688</f>
        <v xml:space="preserve">F_PROFILE(f,th,i) = </v>
      </c>
      <c r="N690" t="s">
        <v>303</v>
      </c>
      <c r="S690">
        <f t="shared" si="504"/>
        <v>9.4170000000000031E-2</v>
      </c>
      <c r="V690">
        <f t="shared" ref="V690" si="596">S690/2</f>
        <v>4.7085000000000016E-2</v>
      </c>
    </row>
    <row r="691" spans="11:22" x14ac:dyDescent="0.25">
      <c r="K691" t="str">
        <f t="shared" ref="K691:M691" si="597">K689</f>
        <v>else if(flow_time &lt;=</v>
      </c>
      <c r="L691" t="str">
        <f t="shared" si="597"/>
        <v>0.0538908</v>
      </c>
      <c r="M691" t="str">
        <f t="shared" si="597"/>
        <v>)</v>
      </c>
    </row>
    <row r="692" spans="11:22" x14ac:dyDescent="0.25">
      <c r="M692" t="str">
        <f t="shared" ref="M692" si="598">M690</f>
        <v xml:space="preserve">F_PROFILE(f,th,i) = </v>
      </c>
      <c r="N692" t="s">
        <v>304</v>
      </c>
      <c r="S692">
        <f t="shared" si="508"/>
        <v>9.4447800000000026E-2</v>
      </c>
      <c r="V692">
        <f t="shared" ref="V692" si="599">S692/2</f>
        <v>4.7223900000000013E-2</v>
      </c>
    </row>
    <row r="693" spans="11:22" x14ac:dyDescent="0.25">
      <c r="K693" t="str">
        <f t="shared" ref="K693:M693" si="600">K691</f>
        <v>else if(flow_time &lt;=</v>
      </c>
      <c r="L693" t="str">
        <f t="shared" si="600"/>
        <v>0.0538908</v>
      </c>
      <c r="M693" t="str">
        <f t="shared" si="600"/>
        <v>)</v>
      </c>
    </row>
    <row r="694" spans="11:22" x14ac:dyDescent="0.25">
      <c r="M694" t="str">
        <f t="shared" ref="M694" si="601">M692</f>
        <v xml:space="preserve">F_PROFILE(f,th,i) = </v>
      </c>
      <c r="N694" t="s">
        <v>305</v>
      </c>
      <c r="S694">
        <f t="shared" ref="S694:S702" si="602">$S$400+S306</f>
        <v>9.4725600000000021E-2</v>
      </c>
      <c r="V694">
        <f t="shared" ref="V694" si="603">S694/2</f>
        <v>4.736280000000001E-2</v>
      </c>
    </row>
    <row r="695" spans="11:22" x14ac:dyDescent="0.25">
      <c r="K695" t="str">
        <f t="shared" ref="K695:M695" si="604">K693</f>
        <v>else if(flow_time &lt;=</v>
      </c>
      <c r="L695" t="str">
        <f t="shared" si="604"/>
        <v>0.0538908</v>
      </c>
      <c r="M695" t="str">
        <f t="shared" si="604"/>
        <v>)</v>
      </c>
    </row>
    <row r="696" spans="11:22" x14ac:dyDescent="0.25">
      <c r="M696" t="str">
        <f t="shared" ref="M696" si="605">M694</f>
        <v xml:space="preserve">F_PROFILE(f,th,i) = </v>
      </c>
      <c r="N696" t="s">
        <v>306</v>
      </c>
      <c r="S696">
        <f t="shared" ref="S696:S700" si="606">$S$400+S308</f>
        <v>9.5003400000000016E-2</v>
      </c>
      <c r="V696">
        <f t="shared" ref="V696" si="607">S696/2</f>
        <v>4.7501700000000008E-2</v>
      </c>
    </row>
    <row r="697" spans="11:22" x14ac:dyDescent="0.25">
      <c r="K697" t="str">
        <f t="shared" ref="K697:M697" si="608">K695</f>
        <v>else if(flow_time &lt;=</v>
      </c>
      <c r="L697" t="str">
        <f t="shared" si="608"/>
        <v>0.0538908</v>
      </c>
      <c r="M697" t="str">
        <f t="shared" si="608"/>
        <v>)</v>
      </c>
    </row>
    <row r="698" spans="11:22" x14ac:dyDescent="0.25">
      <c r="M698" t="str">
        <f t="shared" ref="M698" si="609">M696</f>
        <v xml:space="preserve">F_PROFILE(f,th,i) = </v>
      </c>
      <c r="N698" t="s">
        <v>307</v>
      </c>
      <c r="S698">
        <f t="shared" si="602"/>
        <v>9.528120000000001E-2</v>
      </c>
      <c r="V698">
        <f t="shared" ref="V698" si="610">S698/2</f>
        <v>4.7640600000000005E-2</v>
      </c>
    </row>
    <row r="699" spans="11:22" x14ac:dyDescent="0.25">
      <c r="K699" t="str">
        <f t="shared" ref="K699:M699" si="611">K697</f>
        <v>else if(flow_time &lt;=</v>
      </c>
      <c r="L699" t="str">
        <f t="shared" si="611"/>
        <v>0.0538908</v>
      </c>
      <c r="M699" t="str">
        <f t="shared" si="611"/>
        <v>)</v>
      </c>
    </row>
    <row r="700" spans="11:22" x14ac:dyDescent="0.25">
      <c r="M700" t="str">
        <f t="shared" ref="M700" si="612">M698</f>
        <v xml:space="preserve">F_PROFILE(f,th,i) = </v>
      </c>
      <c r="N700" t="s">
        <v>308</v>
      </c>
      <c r="S700">
        <f t="shared" si="606"/>
        <v>9.5559000000000061E-2</v>
      </c>
      <c r="V700">
        <f t="shared" ref="V700" si="613">S700/2</f>
        <v>4.777950000000003E-2</v>
      </c>
    </row>
    <row r="701" spans="11:22" x14ac:dyDescent="0.25">
      <c r="K701" t="str">
        <f t="shared" ref="K701:M701" si="614">K699</f>
        <v>else if(flow_time &lt;=</v>
      </c>
      <c r="L701" t="str">
        <f t="shared" si="614"/>
        <v>0.0538908</v>
      </c>
      <c r="M701" t="str">
        <f t="shared" si="614"/>
        <v>)</v>
      </c>
    </row>
    <row r="702" spans="11:22" x14ac:dyDescent="0.25">
      <c r="M702" t="str">
        <f t="shared" ref="M702" si="615">M700</f>
        <v xml:space="preserve">F_PROFILE(f,th,i) = </v>
      </c>
      <c r="N702" t="s">
        <v>309</v>
      </c>
      <c r="S702">
        <f t="shared" si="602"/>
        <v>9.5836700000000052E-2</v>
      </c>
      <c r="V702">
        <f t="shared" ref="V702" si="616">S702/2</f>
        <v>4.7918350000000026E-2</v>
      </c>
    </row>
    <row r="703" spans="11:22" x14ac:dyDescent="0.25">
      <c r="K703" t="str">
        <f t="shared" ref="K703:M703" si="617">K701</f>
        <v>else if(flow_time &lt;=</v>
      </c>
      <c r="L703" t="str">
        <f t="shared" si="617"/>
        <v>0.0538908</v>
      </c>
      <c r="M703" t="str">
        <f t="shared" si="617"/>
        <v>)</v>
      </c>
    </row>
    <row r="704" spans="11:22" x14ac:dyDescent="0.25">
      <c r="M704" t="str">
        <f t="shared" ref="M704" si="618">M702</f>
        <v xml:space="preserve">F_PROFILE(f,th,i) = </v>
      </c>
      <c r="N704" t="s">
        <v>310</v>
      </c>
      <c r="S704">
        <f t="shared" ref="S704:S764" si="619">$S$400+S316</f>
        <v>9.6114500000000047E-2</v>
      </c>
      <c r="V704">
        <f t="shared" ref="V704" si="620">S704/2</f>
        <v>4.8057250000000024E-2</v>
      </c>
    </row>
    <row r="705" spans="11:22" x14ac:dyDescent="0.25">
      <c r="K705" t="str">
        <f t="shared" ref="K705:M705" si="621">K703</f>
        <v>else if(flow_time &lt;=</v>
      </c>
      <c r="L705" t="str">
        <f t="shared" si="621"/>
        <v>0.0538908</v>
      </c>
      <c r="M705" t="str">
        <f t="shared" si="621"/>
        <v>)</v>
      </c>
    </row>
    <row r="706" spans="11:22" x14ac:dyDescent="0.25">
      <c r="M706" t="str">
        <f t="shared" ref="M706" si="622">M704</f>
        <v xml:space="preserve">F_PROFILE(f,th,i) = </v>
      </c>
      <c r="N706" t="s">
        <v>311</v>
      </c>
      <c r="S706">
        <f t="shared" ref="S706:S766" si="623">$S$400+S318</f>
        <v>9.6392300000000042E-2</v>
      </c>
      <c r="V706">
        <f t="shared" ref="V706" si="624">S706/2</f>
        <v>4.8196150000000021E-2</v>
      </c>
    </row>
    <row r="707" spans="11:22" x14ac:dyDescent="0.25">
      <c r="K707" t="str">
        <f t="shared" ref="K707:M707" si="625">K705</f>
        <v>else if(flow_time &lt;=</v>
      </c>
      <c r="L707" t="str">
        <f t="shared" si="625"/>
        <v>0.0538908</v>
      </c>
      <c r="M707" t="str">
        <f t="shared" si="625"/>
        <v>)</v>
      </c>
    </row>
    <row r="708" spans="11:22" x14ac:dyDescent="0.25">
      <c r="M708" t="str">
        <f t="shared" ref="M708" si="626">M706</f>
        <v xml:space="preserve">F_PROFILE(f,th,i) = </v>
      </c>
      <c r="N708" t="s">
        <v>312</v>
      </c>
      <c r="S708">
        <f t="shared" si="619"/>
        <v>9.6670100000000037E-2</v>
      </c>
      <c r="V708">
        <f t="shared" ref="V708" si="627">S708/2</f>
        <v>4.8335050000000018E-2</v>
      </c>
    </row>
    <row r="709" spans="11:22" x14ac:dyDescent="0.25">
      <c r="K709" t="str">
        <f t="shared" ref="K709:M709" si="628">K707</f>
        <v>else if(flow_time &lt;=</v>
      </c>
      <c r="L709" t="str">
        <f t="shared" si="628"/>
        <v>0.0538908</v>
      </c>
      <c r="M709" t="str">
        <f t="shared" si="628"/>
        <v>)</v>
      </c>
    </row>
    <row r="710" spans="11:22" x14ac:dyDescent="0.25">
      <c r="M710" t="str">
        <f t="shared" ref="M710" si="629">M708</f>
        <v xml:space="preserve">F_PROFILE(f,th,i) = </v>
      </c>
      <c r="N710" t="s">
        <v>313</v>
      </c>
      <c r="S710">
        <f t="shared" si="623"/>
        <v>9.6947900000000031E-2</v>
      </c>
      <c r="V710">
        <f t="shared" ref="V710" si="630">S710/2</f>
        <v>4.8473950000000016E-2</v>
      </c>
    </row>
    <row r="711" spans="11:22" x14ac:dyDescent="0.25">
      <c r="K711" t="str">
        <f t="shared" ref="K711:M711" si="631">K709</f>
        <v>else if(flow_time &lt;=</v>
      </c>
      <c r="L711" t="str">
        <f t="shared" si="631"/>
        <v>0.0538908</v>
      </c>
      <c r="M711" t="str">
        <f t="shared" si="631"/>
        <v>)</v>
      </c>
    </row>
    <row r="712" spans="11:22" x14ac:dyDescent="0.25">
      <c r="M712" t="str">
        <f t="shared" ref="M712" si="632">M710</f>
        <v xml:space="preserve">F_PROFILE(f,th,i) = </v>
      </c>
      <c r="N712" t="s">
        <v>314</v>
      </c>
      <c r="S712">
        <f t="shared" si="619"/>
        <v>9.7225700000000026E-2</v>
      </c>
      <c r="V712">
        <f t="shared" ref="V712" si="633">S712/2</f>
        <v>4.8612850000000013E-2</v>
      </c>
    </row>
    <row r="713" spans="11:22" x14ac:dyDescent="0.25">
      <c r="K713" t="str">
        <f t="shared" ref="K713:M713" si="634">K711</f>
        <v>else if(flow_time &lt;=</v>
      </c>
      <c r="L713" t="str">
        <f t="shared" si="634"/>
        <v>0.0538908</v>
      </c>
      <c r="M713" t="str">
        <f t="shared" si="634"/>
        <v>)</v>
      </c>
    </row>
    <row r="714" spans="11:22" x14ac:dyDescent="0.25">
      <c r="M714" t="str">
        <f t="shared" ref="M714" si="635">M712</f>
        <v xml:space="preserve">F_PROFILE(f,th,i) = </v>
      </c>
      <c r="N714" t="s">
        <v>315</v>
      </c>
      <c r="S714">
        <f t="shared" si="623"/>
        <v>9.7503500000000021E-2</v>
      </c>
      <c r="V714">
        <f t="shared" ref="V714" si="636">S714/2</f>
        <v>4.875175000000001E-2</v>
      </c>
    </row>
    <row r="715" spans="11:22" x14ac:dyDescent="0.25">
      <c r="K715" t="str">
        <f t="shared" ref="K715:M715" si="637">K713</f>
        <v>else if(flow_time &lt;=</v>
      </c>
      <c r="L715" t="str">
        <f t="shared" si="637"/>
        <v>0.0538908</v>
      </c>
      <c r="M715" t="str">
        <f t="shared" si="637"/>
        <v>)</v>
      </c>
    </row>
    <row r="716" spans="11:22" x14ac:dyDescent="0.25">
      <c r="M716" t="str">
        <f t="shared" ref="M716" si="638">M714</f>
        <v xml:space="preserve">F_PROFILE(f,th,i) = </v>
      </c>
      <c r="N716" t="s">
        <v>316</v>
      </c>
      <c r="S716">
        <f t="shared" si="619"/>
        <v>9.7781300000000015E-2</v>
      </c>
      <c r="V716">
        <f t="shared" ref="V716" si="639">S716/2</f>
        <v>4.8890650000000008E-2</v>
      </c>
    </row>
    <row r="717" spans="11:22" x14ac:dyDescent="0.25">
      <c r="K717" t="str">
        <f t="shared" ref="K717:M717" si="640">K715</f>
        <v>else if(flow_time &lt;=</v>
      </c>
      <c r="L717" t="str">
        <f t="shared" si="640"/>
        <v>0.0538908</v>
      </c>
      <c r="M717" t="str">
        <f t="shared" si="640"/>
        <v>)</v>
      </c>
    </row>
    <row r="718" spans="11:22" x14ac:dyDescent="0.25">
      <c r="M718" t="str">
        <f t="shared" ref="M718" si="641">M716</f>
        <v xml:space="preserve">F_PROFILE(f,th,i) = </v>
      </c>
      <c r="N718" t="s">
        <v>317</v>
      </c>
      <c r="S718">
        <f t="shared" si="623"/>
        <v>9.8059000000000063E-2</v>
      </c>
      <c r="V718">
        <f t="shared" ref="V718" si="642">S718/2</f>
        <v>4.9029500000000031E-2</v>
      </c>
    </row>
    <row r="719" spans="11:22" x14ac:dyDescent="0.25">
      <c r="K719" t="str">
        <f t="shared" ref="K719:M719" si="643">K717</f>
        <v>else if(flow_time &lt;=</v>
      </c>
      <c r="L719" t="str">
        <f t="shared" si="643"/>
        <v>0.0538908</v>
      </c>
      <c r="M719" t="str">
        <f t="shared" si="643"/>
        <v>)</v>
      </c>
    </row>
    <row r="720" spans="11:22" x14ac:dyDescent="0.25">
      <c r="M720" t="str">
        <f t="shared" ref="M720" si="644">M718</f>
        <v xml:space="preserve">F_PROFILE(f,th,i) = </v>
      </c>
      <c r="N720" t="s">
        <v>318</v>
      </c>
      <c r="S720">
        <f t="shared" si="619"/>
        <v>9.8336800000000057E-2</v>
      </c>
      <c r="V720">
        <f t="shared" ref="V720" si="645">S720/2</f>
        <v>4.9168400000000029E-2</v>
      </c>
    </row>
    <row r="721" spans="11:22" x14ac:dyDescent="0.25">
      <c r="K721" t="str">
        <f t="shared" ref="K721:M721" si="646">K719</f>
        <v>else if(flow_time &lt;=</v>
      </c>
      <c r="L721" t="str">
        <f t="shared" si="646"/>
        <v>0.0538908</v>
      </c>
      <c r="M721" t="str">
        <f t="shared" si="646"/>
        <v>)</v>
      </c>
    </row>
    <row r="722" spans="11:22" x14ac:dyDescent="0.25">
      <c r="M722" t="str">
        <f t="shared" ref="M722" si="647">M720</f>
        <v xml:space="preserve">F_PROFILE(f,th,i) = </v>
      </c>
      <c r="N722" t="s">
        <v>319</v>
      </c>
      <c r="S722">
        <f t="shared" si="623"/>
        <v>9.8614600000000052E-2</v>
      </c>
      <c r="V722">
        <f t="shared" ref="V722" si="648">S722/2</f>
        <v>4.9307300000000026E-2</v>
      </c>
    </row>
    <row r="723" spans="11:22" x14ac:dyDescent="0.25">
      <c r="K723" t="str">
        <f t="shared" ref="K723:M723" si="649">K721</f>
        <v>else if(flow_time &lt;=</v>
      </c>
      <c r="L723" t="str">
        <f t="shared" si="649"/>
        <v>0.0538908</v>
      </c>
      <c r="M723" t="str">
        <f t="shared" si="649"/>
        <v>)</v>
      </c>
    </row>
    <row r="724" spans="11:22" x14ac:dyDescent="0.25">
      <c r="M724" t="str">
        <f t="shared" ref="M724" si="650">M722</f>
        <v xml:space="preserve">F_PROFILE(f,th,i) = </v>
      </c>
      <c r="N724" t="s">
        <v>320</v>
      </c>
      <c r="S724">
        <f t="shared" si="619"/>
        <v>9.8892400000000047E-2</v>
      </c>
      <c r="V724">
        <f t="shared" ref="V724" si="651">S724/2</f>
        <v>4.9446200000000023E-2</v>
      </c>
    </row>
    <row r="725" spans="11:22" x14ac:dyDescent="0.25">
      <c r="K725" t="str">
        <f t="shared" ref="K725:M725" si="652">K723</f>
        <v>else if(flow_time &lt;=</v>
      </c>
      <c r="L725" t="str">
        <f t="shared" si="652"/>
        <v>0.0538908</v>
      </c>
      <c r="M725" t="str">
        <f t="shared" si="652"/>
        <v>)</v>
      </c>
    </row>
    <row r="726" spans="11:22" x14ac:dyDescent="0.25">
      <c r="M726" t="str">
        <f t="shared" ref="M726" si="653">M724</f>
        <v xml:space="preserve">F_PROFILE(f,th,i) = </v>
      </c>
      <c r="N726" t="s">
        <v>321</v>
      </c>
      <c r="S726">
        <f t="shared" si="623"/>
        <v>9.9170200000000042E-2</v>
      </c>
      <c r="V726">
        <f t="shared" ref="V726" si="654">S726/2</f>
        <v>4.9585100000000021E-2</v>
      </c>
    </row>
    <row r="727" spans="11:22" x14ac:dyDescent="0.25">
      <c r="K727" t="str">
        <f t="shared" ref="K727:M727" si="655">K725</f>
        <v>else if(flow_time &lt;=</v>
      </c>
      <c r="L727" t="str">
        <f t="shared" si="655"/>
        <v>0.0538908</v>
      </c>
      <c r="M727" t="str">
        <f t="shared" si="655"/>
        <v>)</v>
      </c>
    </row>
    <row r="728" spans="11:22" x14ac:dyDescent="0.25">
      <c r="M728" t="str">
        <f t="shared" ref="M728" si="656">M726</f>
        <v xml:space="preserve">F_PROFILE(f,th,i) = </v>
      </c>
      <c r="N728" t="s">
        <v>322</v>
      </c>
      <c r="S728">
        <f t="shared" si="619"/>
        <v>9.9448000000000036E-2</v>
      </c>
      <c r="V728">
        <f t="shared" ref="V728" si="657">S728/2</f>
        <v>4.9724000000000018E-2</v>
      </c>
    </row>
    <row r="729" spans="11:22" x14ac:dyDescent="0.25">
      <c r="K729" t="str">
        <f t="shared" ref="K729:M729" si="658">K727</f>
        <v>else if(flow_time &lt;=</v>
      </c>
      <c r="L729" t="str">
        <f t="shared" si="658"/>
        <v>0.0538908</v>
      </c>
      <c r="M729" t="str">
        <f t="shared" si="658"/>
        <v>)</v>
      </c>
    </row>
    <row r="730" spans="11:22" x14ac:dyDescent="0.25">
      <c r="M730" t="str">
        <f t="shared" ref="M730" si="659">M728</f>
        <v xml:space="preserve">F_PROFILE(f,th,i) = </v>
      </c>
      <c r="N730" t="s">
        <v>323</v>
      </c>
      <c r="S730">
        <f t="shared" si="623"/>
        <v>9.9725800000000031E-2</v>
      </c>
      <c r="V730">
        <f t="shared" ref="V730" si="660">S730/2</f>
        <v>4.9862900000000016E-2</v>
      </c>
    </row>
    <row r="731" spans="11:22" x14ac:dyDescent="0.25">
      <c r="K731" t="str">
        <f t="shared" ref="K731:M731" si="661">K729</f>
        <v>else if(flow_time &lt;=</v>
      </c>
      <c r="L731" t="str">
        <f t="shared" si="661"/>
        <v>0.0538908</v>
      </c>
      <c r="M731" t="str">
        <f t="shared" si="661"/>
        <v>)</v>
      </c>
    </row>
    <row r="732" spans="11:22" x14ac:dyDescent="0.25">
      <c r="M732" t="str">
        <f t="shared" ref="M732" si="662">M730</f>
        <v xml:space="preserve">F_PROFILE(f,th,i) = </v>
      </c>
      <c r="N732" t="s">
        <v>324</v>
      </c>
      <c r="S732">
        <f t="shared" si="619"/>
        <v>0.10000360000000003</v>
      </c>
      <c r="V732">
        <f t="shared" ref="V732" si="663">S732/2</f>
        <v>5.0001800000000013E-2</v>
      </c>
    </row>
    <row r="733" spans="11:22" x14ac:dyDescent="0.25">
      <c r="K733" t="str">
        <f t="shared" ref="K733:M733" si="664">K731</f>
        <v>else if(flow_time &lt;=</v>
      </c>
      <c r="L733" t="str">
        <f t="shared" si="664"/>
        <v>0.0538908</v>
      </c>
      <c r="M733" t="str">
        <f t="shared" si="664"/>
        <v>)</v>
      </c>
    </row>
    <row r="734" spans="11:22" x14ac:dyDescent="0.25">
      <c r="M734" t="str">
        <f t="shared" ref="M734" si="665">M732</f>
        <v xml:space="preserve">F_PROFILE(f,th,i) = </v>
      </c>
      <c r="N734" t="s">
        <v>325</v>
      </c>
      <c r="S734">
        <f t="shared" si="623"/>
        <v>0.10028130000000002</v>
      </c>
      <c r="V734">
        <f t="shared" ref="V734" si="666">S734/2</f>
        <v>5.0140650000000009E-2</v>
      </c>
    </row>
    <row r="735" spans="11:22" x14ac:dyDescent="0.25">
      <c r="K735" t="str">
        <f t="shared" ref="K735:M735" si="667">K733</f>
        <v>else if(flow_time &lt;=</v>
      </c>
      <c r="L735" t="str">
        <f t="shared" si="667"/>
        <v>0.0538908</v>
      </c>
      <c r="M735" t="str">
        <f t="shared" si="667"/>
        <v>)</v>
      </c>
    </row>
    <row r="736" spans="11:22" x14ac:dyDescent="0.25">
      <c r="M736" t="str">
        <f t="shared" ref="M736" si="668">M734</f>
        <v xml:space="preserve">F_PROFILE(f,th,i) = </v>
      </c>
      <c r="N736" t="s">
        <v>326</v>
      </c>
      <c r="S736">
        <f t="shared" si="619"/>
        <v>0.10055910000000001</v>
      </c>
      <c r="V736">
        <f t="shared" ref="V736" si="669">S736/2</f>
        <v>5.0279550000000006E-2</v>
      </c>
    </row>
    <row r="737" spans="11:22" x14ac:dyDescent="0.25">
      <c r="K737" t="str">
        <f t="shared" ref="K737:M737" si="670">K735</f>
        <v>else if(flow_time &lt;=</v>
      </c>
      <c r="L737" t="str">
        <f t="shared" si="670"/>
        <v>0.0538908</v>
      </c>
      <c r="M737" t="str">
        <f t="shared" si="670"/>
        <v>)</v>
      </c>
    </row>
    <row r="738" spans="11:22" x14ac:dyDescent="0.25">
      <c r="M738" t="str">
        <f t="shared" ref="M738" si="671">M736</f>
        <v xml:space="preserve">F_PROFILE(f,th,i) = </v>
      </c>
      <c r="N738" t="s">
        <v>327</v>
      </c>
      <c r="S738">
        <f t="shared" si="623"/>
        <v>0.10083690000000006</v>
      </c>
      <c r="V738">
        <f t="shared" ref="V738" si="672">S738/2</f>
        <v>5.0418450000000031E-2</v>
      </c>
    </row>
    <row r="739" spans="11:22" x14ac:dyDescent="0.25">
      <c r="K739" t="str">
        <f t="shared" ref="K739:M739" si="673">K737</f>
        <v>else if(flow_time &lt;=</v>
      </c>
      <c r="L739" t="str">
        <f t="shared" si="673"/>
        <v>0.0538908</v>
      </c>
      <c r="M739" t="str">
        <f t="shared" si="673"/>
        <v>)</v>
      </c>
    </row>
    <row r="740" spans="11:22" x14ac:dyDescent="0.25">
      <c r="M740" t="str">
        <f t="shared" ref="M740" si="674">M738</f>
        <v xml:space="preserve">F_PROFILE(f,th,i) = </v>
      </c>
      <c r="N740" t="s">
        <v>328</v>
      </c>
      <c r="S740">
        <f t="shared" si="619"/>
        <v>0.10111470000000006</v>
      </c>
      <c r="V740">
        <f t="shared" ref="V740" si="675">S740/2</f>
        <v>5.0557350000000029E-2</v>
      </c>
    </row>
    <row r="741" spans="11:22" x14ac:dyDescent="0.25">
      <c r="K741" t="str">
        <f t="shared" ref="K741:M741" si="676">K739</f>
        <v>else if(flow_time &lt;=</v>
      </c>
      <c r="L741" t="str">
        <f t="shared" si="676"/>
        <v>0.0538908</v>
      </c>
      <c r="M741" t="str">
        <f t="shared" si="676"/>
        <v>)</v>
      </c>
    </row>
    <row r="742" spans="11:22" x14ac:dyDescent="0.25">
      <c r="M742" t="str">
        <f t="shared" ref="M742" si="677">M740</f>
        <v xml:space="preserve">F_PROFILE(f,th,i) = </v>
      </c>
      <c r="N742" t="s">
        <v>329</v>
      </c>
      <c r="S742">
        <f t="shared" si="623"/>
        <v>0.10139250000000005</v>
      </c>
      <c r="V742">
        <f t="shared" ref="V742" si="678">S742/2</f>
        <v>5.0696250000000026E-2</v>
      </c>
    </row>
    <row r="743" spans="11:22" x14ac:dyDescent="0.25">
      <c r="K743" t="str">
        <f t="shared" ref="K743:M743" si="679">K741</f>
        <v>else if(flow_time &lt;=</v>
      </c>
      <c r="L743" t="str">
        <f t="shared" si="679"/>
        <v>0.0538908</v>
      </c>
      <c r="M743" t="str">
        <f t="shared" si="679"/>
        <v>)</v>
      </c>
    </row>
    <row r="744" spans="11:22" x14ac:dyDescent="0.25">
      <c r="M744" t="str">
        <f t="shared" ref="M744" si="680">M742</f>
        <v xml:space="preserve">F_PROFILE(f,th,i) = </v>
      </c>
      <c r="N744" t="s">
        <v>242</v>
      </c>
      <c r="S744">
        <f t="shared" si="619"/>
        <v>0.10167030000000005</v>
      </c>
      <c r="V744">
        <f t="shared" ref="V744" si="681">S744/2</f>
        <v>5.0835150000000023E-2</v>
      </c>
    </row>
    <row r="745" spans="11:22" x14ac:dyDescent="0.25">
      <c r="K745" t="str">
        <f t="shared" ref="K745:M745" si="682">K743</f>
        <v>else if(flow_time &lt;=</v>
      </c>
      <c r="L745" t="str">
        <f t="shared" si="682"/>
        <v>0.0538908</v>
      </c>
      <c r="M745" t="str">
        <f t="shared" si="682"/>
        <v>)</v>
      </c>
    </row>
    <row r="746" spans="11:22" x14ac:dyDescent="0.25">
      <c r="M746" t="str">
        <f t="shared" ref="M746" si="683">M744</f>
        <v xml:space="preserve">F_PROFILE(f,th,i) = </v>
      </c>
      <c r="N746" t="s">
        <v>242</v>
      </c>
      <c r="S746">
        <f t="shared" si="623"/>
        <v>0.10194810000000004</v>
      </c>
      <c r="V746">
        <f t="shared" ref="V746" si="684">S746/2</f>
        <v>5.0974050000000021E-2</v>
      </c>
    </row>
    <row r="747" spans="11:22" x14ac:dyDescent="0.25">
      <c r="K747" t="str">
        <f t="shared" ref="K747:M747" si="685">K745</f>
        <v>else if(flow_time &lt;=</v>
      </c>
      <c r="L747" t="str">
        <f t="shared" si="685"/>
        <v>0.0538908</v>
      </c>
      <c r="M747" t="str">
        <f t="shared" si="685"/>
        <v>)</v>
      </c>
    </row>
    <row r="748" spans="11:22" x14ac:dyDescent="0.25">
      <c r="M748" t="str">
        <f t="shared" ref="M748" si="686">M746</f>
        <v xml:space="preserve">F_PROFILE(f,th,i) = </v>
      </c>
      <c r="N748" t="s">
        <v>242</v>
      </c>
      <c r="S748">
        <f t="shared" si="619"/>
        <v>0.10222590000000004</v>
      </c>
      <c r="V748">
        <f t="shared" ref="V748" si="687">S748/2</f>
        <v>5.1112950000000018E-2</v>
      </c>
    </row>
    <row r="749" spans="11:22" x14ac:dyDescent="0.25">
      <c r="K749" t="str">
        <f t="shared" ref="K749:M749" si="688">K747</f>
        <v>else if(flow_time &lt;=</v>
      </c>
      <c r="L749" t="str">
        <f t="shared" si="688"/>
        <v>0.0538908</v>
      </c>
      <c r="M749" t="str">
        <f t="shared" si="688"/>
        <v>)</v>
      </c>
    </row>
    <row r="750" spans="11:22" x14ac:dyDescent="0.25">
      <c r="M750" t="str">
        <f t="shared" ref="M750" si="689">M748</f>
        <v xml:space="preserve">F_PROFILE(f,th,i) = </v>
      </c>
      <c r="N750" t="s">
        <v>242</v>
      </c>
      <c r="S750">
        <f t="shared" si="623"/>
        <v>0.10250360000000003</v>
      </c>
      <c r="V750">
        <f t="shared" ref="V750" si="690">S750/2</f>
        <v>5.1251800000000014E-2</v>
      </c>
    </row>
    <row r="751" spans="11:22" x14ac:dyDescent="0.25">
      <c r="K751" t="str">
        <f t="shared" ref="K751:M751" si="691">K749</f>
        <v>else if(flow_time &lt;=</v>
      </c>
      <c r="L751" t="str">
        <f t="shared" si="691"/>
        <v>0.0538908</v>
      </c>
      <c r="M751" t="str">
        <f t="shared" si="691"/>
        <v>)</v>
      </c>
    </row>
    <row r="752" spans="11:22" x14ac:dyDescent="0.25">
      <c r="M752" t="str">
        <f t="shared" ref="M752" si="692">M750</f>
        <v xml:space="preserve">F_PROFILE(f,th,i) = </v>
      </c>
      <c r="N752" t="s">
        <v>242</v>
      </c>
      <c r="S752">
        <f t="shared" si="619"/>
        <v>0.10278140000000002</v>
      </c>
      <c r="V752">
        <f t="shared" ref="V752" si="693">S752/2</f>
        <v>5.1390700000000011E-2</v>
      </c>
    </row>
    <row r="753" spans="11:22" x14ac:dyDescent="0.25">
      <c r="K753" t="str">
        <f t="shared" ref="K753:M753" si="694">K751</f>
        <v>else if(flow_time &lt;=</v>
      </c>
      <c r="L753" t="str">
        <f t="shared" si="694"/>
        <v>0.0538908</v>
      </c>
      <c r="M753" t="str">
        <f t="shared" si="694"/>
        <v>)</v>
      </c>
    </row>
    <row r="754" spans="11:22" x14ac:dyDescent="0.25">
      <c r="M754" t="str">
        <f t="shared" ref="M754" si="695">M752</f>
        <v xml:space="preserve">F_PROFILE(f,th,i) = </v>
      </c>
      <c r="N754" t="s">
        <v>242</v>
      </c>
      <c r="S754">
        <f t="shared" si="623"/>
        <v>0.10305920000000002</v>
      </c>
      <c r="V754">
        <f t="shared" ref="V754" si="696">S754/2</f>
        <v>5.1529600000000009E-2</v>
      </c>
    </row>
    <row r="755" spans="11:22" x14ac:dyDescent="0.25">
      <c r="K755" t="str">
        <f t="shared" ref="K755:M755" si="697">K753</f>
        <v>else if(flow_time &lt;=</v>
      </c>
      <c r="L755" t="str">
        <f t="shared" si="697"/>
        <v>0.0538908</v>
      </c>
      <c r="M755" t="str">
        <f t="shared" si="697"/>
        <v>)</v>
      </c>
    </row>
    <row r="756" spans="11:22" x14ac:dyDescent="0.25">
      <c r="M756" t="str">
        <f t="shared" ref="M756" si="698">M754</f>
        <v xml:space="preserve">F_PROFILE(f,th,i) = </v>
      </c>
      <c r="N756" t="s">
        <v>242</v>
      </c>
      <c r="S756">
        <f t="shared" si="619"/>
        <v>0.10333700000000001</v>
      </c>
      <c r="V756">
        <f t="shared" ref="V756" si="699">S756/2</f>
        <v>5.1668500000000006E-2</v>
      </c>
    </row>
    <row r="757" spans="11:22" x14ac:dyDescent="0.25">
      <c r="K757" t="str">
        <f t="shared" ref="K757:M757" si="700">K755</f>
        <v>else if(flow_time &lt;=</v>
      </c>
      <c r="L757" t="str">
        <f t="shared" si="700"/>
        <v>0.0538908</v>
      </c>
      <c r="M757" t="str">
        <f t="shared" si="700"/>
        <v>)</v>
      </c>
    </row>
    <row r="758" spans="11:22" x14ac:dyDescent="0.25">
      <c r="M758" t="str">
        <f t="shared" ref="M758" si="701">M756</f>
        <v xml:space="preserve">F_PROFILE(f,th,i) = </v>
      </c>
      <c r="N758" t="s">
        <v>242</v>
      </c>
      <c r="S758">
        <f t="shared" si="623"/>
        <v>0.10361480000000006</v>
      </c>
      <c r="V758">
        <f t="shared" ref="V758" si="702">S758/2</f>
        <v>5.1807400000000031E-2</v>
      </c>
    </row>
    <row r="759" spans="11:22" x14ac:dyDescent="0.25">
      <c r="K759" t="str">
        <f t="shared" ref="K759:M759" si="703">K757</f>
        <v>else if(flow_time &lt;=</v>
      </c>
      <c r="L759" t="str">
        <f t="shared" si="703"/>
        <v>0.0538908</v>
      </c>
      <c r="M759" t="str">
        <f t="shared" si="703"/>
        <v>)</v>
      </c>
    </row>
    <row r="760" spans="11:22" x14ac:dyDescent="0.25">
      <c r="M760" t="str">
        <f t="shared" ref="M760" si="704">M758</f>
        <v xml:space="preserve">F_PROFILE(f,th,i) = </v>
      </c>
      <c r="N760" t="s">
        <v>242</v>
      </c>
      <c r="S760">
        <f t="shared" si="619"/>
        <v>0.10389260000000006</v>
      </c>
      <c r="V760">
        <f t="shared" ref="V760" si="705">S760/2</f>
        <v>5.1946300000000029E-2</v>
      </c>
    </row>
    <row r="761" spans="11:22" x14ac:dyDescent="0.25">
      <c r="K761" t="str">
        <f t="shared" ref="K761:M761" si="706">K759</f>
        <v>else if(flow_time &lt;=</v>
      </c>
      <c r="L761" t="str">
        <f t="shared" si="706"/>
        <v>0.0538908</v>
      </c>
      <c r="M761" t="str">
        <f t="shared" si="706"/>
        <v>)</v>
      </c>
    </row>
    <row r="762" spans="11:22" x14ac:dyDescent="0.25">
      <c r="M762" t="str">
        <f t="shared" ref="M762" si="707">M760</f>
        <v xml:space="preserve">F_PROFILE(f,th,i) = </v>
      </c>
      <c r="N762" t="s">
        <v>242</v>
      </c>
      <c r="S762">
        <f t="shared" si="623"/>
        <v>0.10417040000000005</v>
      </c>
      <c r="V762">
        <f t="shared" ref="V762" si="708">S762/2</f>
        <v>5.2085200000000026E-2</v>
      </c>
    </row>
    <row r="763" spans="11:22" x14ac:dyDescent="0.25">
      <c r="K763" t="str">
        <f t="shared" ref="K763:M763" si="709">K761</f>
        <v>else if(flow_time &lt;=</v>
      </c>
      <c r="L763" t="str">
        <f t="shared" si="709"/>
        <v>0.0538908</v>
      </c>
      <c r="M763" t="str">
        <f t="shared" si="709"/>
        <v>)</v>
      </c>
    </row>
    <row r="764" spans="11:22" x14ac:dyDescent="0.25">
      <c r="M764" t="str">
        <f t="shared" ref="M764" si="710">M762</f>
        <v xml:space="preserve">F_PROFILE(f,th,i) = </v>
      </c>
      <c r="N764" t="s">
        <v>242</v>
      </c>
      <c r="S764">
        <f t="shared" si="619"/>
        <v>0.10444820000000005</v>
      </c>
      <c r="V764">
        <f t="shared" ref="V764" si="711">S764/2</f>
        <v>5.2224100000000023E-2</v>
      </c>
    </row>
    <row r="765" spans="11:22" x14ac:dyDescent="0.25">
      <c r="K765" t="str">
        <f t="shared" ref="K765:M765" si="712">K763</f>
        <v>else if(flow_time &lt;=</v>
      </c>
      <c r="L765" t="str">
        <f t="shared" si="712"/>
        <v>0.0538908</v>
      </c>
      <c r="M765" t="str">
        <f t="shared" si="712"/>
        <v>)</v>
      </c>
    </row>
    <row r="766" spans="11:22" x14ac:dyDescent="0.25">
      <c r="M766" t="str">
        <f t="shared" ref="M766" si="713">M764</f>
        <v xml:space="preserve">F_PROFILE(f,th,i) = </v>
      </c>
      <c r="N766" t="s">
        <v>242</v>
      </c>
      <c r="S766">
        <f t="shared" si="623"/>
        <v>0.10472590000000004</v>
      </c>
      <c r="V766">
        <f t="shared" ref="V766" si="714">S766/2</f>
        <v>5.2362950000000019E-2</v>
      </c>
    </row>
    <row r="767" spans="11:22" x14ac:dyDescent="0.25">
      <c r="K767" t="str">
        <f t="shared" ref="K767:M767" si="715">K765</f>
        <v>else if(flow_time &lt;=</v>
      </c>
      <c r="L767" t="str">
        <f t="shared" si="715"/>
        <v>0.0538908</v>
      </c>
      <c r="M767" t="str">
        <f t="shared" si="715"/>
        <v>)</v>
      </c>
    </row>
    <row r="768" spans="11:22" x14ac:dyDescent="0.25">
      <c r="M768" t="str">
        <f t="shared" ref="M768" si="716">M766</f>
        <v xml:space="preserve">F_PROFILE(f,th,i) = </v>
      </c>
      <c r="N768" t="s">
        <v>242</v>
      </c>
      <c r="S768">
        <f t="shared" ref="S768:S788" si="717">$S$400+S380</f>
        <v>0.10500370000000003</v>
      </c>
      <c r="V768">
        <f t="shared" ref="V768" si="718">S768/2</f>
        <v>5.2501850000000017E-2</v>
      </c>
    </row>
    <row r="769" spans="11:22" x14ac:dyDescent="0.25">
      <c r="K769" t="str">
        <f t="shared" ref="K769:M769" si="719">K767</f>
        <v>else if(flow_time &lt;=</v>
      </c>
      <c r="L769" t="str">
        <f t="shared" si="719"/>
        <v>0.0538908</v>
      </c>
      <c r="M769" t="str">
        <f t="shared" si="719"/>
        <v>)</v>
      </c>
    </row>
    <row r="770" spans="11:22" x14ac:dyDescent="0.25">
      <c r="M770" t="str">
        <f t="shared" ref="M770" si="720">M768</f>
        <v xml:space="preserve">F_PROFILE(f,th,i) = </v>
      </c>
      <c r="N770" t="s">
        <v>242</v>
      </c>
      <c r="S770">
        <f t="shared" ref="S770:S790" si="721">$S$400+S382</f>
        <v>0.10528150000000003</v>
      </c>
      <c r="V770">
        <f t="shared" ref="V770" si="722">S770/2</f>
        <v>5.2640750000000014E-2</v>
      </c>
    </row>
    <row r="771" spans="11:22" x14ac:dyDescent="0.25">
      <c r="K771" t="str">
        <f t="shared" ref="K771:M771" si="723">K769</f>
        <v>else if(flow_time &lt;=</v>
      </c>
      <c r="L771" t="str">
        <f t="shared" si="723"/>
        <v>0.0538908</v>
      </c>
      <c r="M771" t="str">
        <f t="shared" si="723"/>
        <v>)</v>
      </c>
    </row>
    <row r="772" spans="11:22" x14ac:dyDescent="0.25">
      <c r="M772" t="str">
        <f t="shared" ref="M772" si="724">M770</f>
        <v xml:space="preserve">F_PROFILE(f,th,i) = </v>
      </c>
      <c r="N772" t="s">
        <v>242</v>
      </c>
      <c r="S772">
        <f t="shared" si="717"/>
        <v>0.10555930000000002</v>
      </c>
      <c r="V772">
        <f t="shared" ref="V772" si="725">S772/2</f>
        <v>5.2779650000000011E-2</v>
      </c>
    </row>
    <row r="773" spans="11:22" x14ac:dyDescent="0.25">
      <c r="K773" t="str">
        <f t="shared" ref="K773:M773" si="726">K771</f>
        <v>else if(flow_time &lt;=</v>
      </c>
      <c r="L773" t="str">
        <f t="shared" si="726"/>
        <v>0.0538908</v>
      </c>
      <c r="M773" t="str">
        <f t="shared" si="726"/>
        <v>)</v>
      </c>
    </row>
    <row r="774" spans="11:22" x14ac:dyDescent="0.25">
      <c r="M774" t="str">
        <f t="shared" ref="M774" si="727">M772</f>
        <v xml:space="preserve">F_PROFILE(f,th,i) = </v>
      </c>
      <c r="N774" t="s">
        <v>242</v>
      </c>
      <c r="S774">
        <f t="shared" si="721"/>
        <v>0.10583710000000002</v>
      </c>
      <c r="V774">
        <f t="shared" ref="V774" si="728">S774/2</f>
        <v>5.2918550000000009E-2</v>
      </c>
    </row>
    <row r="775" spans="11:22" x14ac:dyDescent="0.25">
      <c r="K775" t="str">
        <f t="shared" ref="K775:M775" si="729">K773</f>
        <v>else if(flow_time &lt;=</v>
      </c>
      <c r="L775" t="str">
        <f t="shared" si="729"/>
        <v>0.0538908</v>
      </c>
      <c r="M775" t="str">
        <f t="shared" si="729"/>
        <v>)</v>
      </c>
    </row>
    <row r="776" spans="11:22" x14ac:dyDescent="0.25">
      <c r="M776" t="str">
        <f t="shared" ref="M776" si="730">M774</f>
        <v xml:space="preserve">F_PROFILE(f,th,i) = </v>
      </c>
      <c r="N776" t="s">
        <v>242</v>
      </c>
      <c r="S776">
        <f t="shared" si="717"/>
        <v>0.10611490000000001</v>
      </c>
      <c r="V776">
        <f t="shared" ref="V776" si="731">S776/2</f>
        <v>5.3057450000000006E-2</v>
      </c>
    </row>
    <row r="777" spans="11:22" x14ac:dyDescent="0.25">
      <c r="K777" t="str">
        <f t="shared" ref="K777:M777" si="732">K775</f>
        <v>else if(flow_time &lt;=</v>
      </c>
      <c r="L777" t="str">
        <f t="shared" si="732"/>
        <v>0.0538908</v>
      </c>
      <c r="M777" t="str">
        <f t="shared" si="732"/>
        <v>)</v>
      </c>
    </row>
    <row r="778" spans="11:22" x14ac:dyDescent="0.25">
      <c r="M778" t="str">
        <f t="shared" ref="M778" si="733">M776</f>
        <v xml:space="preserve">F_PROFILE(f,th,i) = </v>
      </c>
      <c r="N778" t="s">
        <v>242</v>
      </c>
      <c r="S778">
        <f t="shared" si="721"/>
        <v>0.10639270000000006</v>
      </c>
      <c r="V778">
        <f t="shared" ref="V778" si="734">S778/2</f>
        <v>5.3196350000000031E-2</v>
      </c>
    </row>
    <row r="779" spans="11:22" x14ac:dyDescent="0.25">
      <c r="K779" t="str">
        <f t="shared" ref="K779:M779" si="735">K777</f>
        <v>else if(flow_time &lt;=</v>
      </c>
      <c r="L779" t="str">
        <f t="shared" si="735"/>
        <v>0.0538908</v>
      </c>
      <c r="M779" t="str">
        <f t="shared" si="735"/>
        <v>)</v>
      </c>
    </row>
    <row r="780" spans="11:22" x14ac:dyDescent="0.25">
      <c r="M780" t="str">
        <f t="shared" ref="M780" si="736">M778</f>
        <v xml:space="preserve">F_PROFILE(f,th,i) = </v>
      </c>
      <c r="N780" t="s">
        <v>242</v>
      </c>
      <c r="S780">
        <f t="shared" si="717"/>
        <v>0.10667050000000006</v>
      </c>
      <c r="V780">
        <f t="shared" ref="V780" si="737">S780/2</f>
        <v>5.3335250000000028E-2</v>
      </c>
    </row>
    <row r="781" spans="11:22" x14ac:dyDescent="0.25">
      <c r="K781" t="str">
        <f t="shared" ref="K781:M781" si="738">K779</f>
        <v>else if(flow_time &lt;=</v>
      </c>
      <c r="L781" t="str">
        <f t="shared" si="738"/>
        <v>0.0538908</v>
      </c>
      <c r="M781" t="str">
        <f t="shared" si="738"/>
        <v>)</v>
      </c>
    </row>
    <row r="782" spans="11:22" x14ac:dyDescent="0.25">
      <c r="M782" t="str">
        <f t="shared" ref="M782" si="739">M780</f>
        <v xml:space="preserve">F_PROFILE(f,th,i) = </v>
      </c>
      <c r="N782" t="s">
        <v>242</v>
      </c>
      <c r="S782">
        <f t="shared" si="721"/>
        <v>0.10694820000000005</v>
      </c>
      <c r="V782">
        <f t="shared" ref="V782" si="740">S782/2</f>
        <v>5.3474100000000024E-2</v>
      </c>
    </row>
    <row r="783" spans="11:22" x14ac:dyDescent="0.25">
      <c r="K783" t="str">
        <f t="shared" ref="K783:M783" si="741">K781</f>
        <v>else if(flow_time &lt;=</v>
      </c>
      <c r="L783" t="str">
        <f t="shared" si="741"/>
        <v>0.0538908</v>
      </c>
      <c r="M783" t="str">
        <f t="shared" si="741"/>
        <v>)</v>
      </c>
    </row>
    <row r="784" spans="11:22" x14ac:dyDescent="0.25">
      <c r="M784" t="str">
        <f t="shared" ref="M784" si="742">M782</f>
        <v xml:space="preserve">F_PROFILE(f,th,i) = </v>
      </c>
      <c r="N784" t="s">
        <v>242</v>
      </c>
      <c r="S784">
        <f t="shared" si="717"/>
        <v>0.10722600000000004</v>
      </c>
      <c r="V784">
        <f t="shared" ref="V784" si="743">S784/2</f>
        <v>5.3613000000000022E-2</v>
      </c>
    </row>
    <row r="785" spans="11:22" x14ac:dyDescent="0.25">
      <c r="K785" t="str">
        <f t="shared" ref="K785:M785" si="744">K783</f>
        <v>else if(flow_time &lt;=</v>
      </c>
      <c r="L785" t="str">
        <f t="shared" si="744"/>
        <v>0.0538908</v>
      </c>
      <c r="M785" t="str">
        <f t="shared" si="744"/>
        <v>)</v>
      </c>
    </row>
    <row r="786" spans="11:22" x14ac:dyDescent="0.25">
      <c r="M786" t="str">
        <f t="shared" ref="M786" si="745">M784</f>
        <v xml:space="preserve">F_PROFILE(f,th,i) = </v>
      </c>
      <c r="N786" t="s">
        <v>242</v>
      </c>
      <c r="S786">
        <f t="shared" si="721"/>
        <v>0.10750380000000004</v>
      </c>
      <c r="V786">
        <f t="shared" ref="V786" si="746">S786/2</f>
        <v>5.3751900000000019E-2</v>
      </c>
    </row>
    <row r="788" spans="11:22" x14ac:dyDescent="0.25">
      <c r="S788">
        <f t="shared" si="717"/>
        <v>0.10778160000000003</v>
      </c>
      <c r="V788">
        <f t="shared" ref="V788" si="747">S788/2</f>
        <v>5.3890800000000016E-2</v>
      </c>
    </row>
    <row r="790" spans="11:22" x14ac:dyDescent="0.25">
      <c r="S790">
        <f t="shared" si="721"/>
        <v>0.10805940000000003</v>
      </c>
      <c r="V790">
        <f t="shared" ref="V790" si="748">S790/2</f>
        <v>5.4029700000000014E-2</v>
      </c>
    </row>
  </sheetData>
  <phoneticPr fontId="14" type="noConversion"/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32278-60BA-4873-BBEA-0A18145A3D7D}">
  <dimension ref="A1:K42"/>
  <sheetViews>
    <sheetView workbookViewId="0">
      <selection sqref="A1:B1"/>
    </sheetView>
  </sheetViews>
  <sheetFormatPr defaultRowHeight="15" x14ac:dyDescent="0.25"/>
  <cols>
    <col min="1" max="3" width="9.140625" customWidth="1"/>
    <col min="4" max="4" width="10.85546875" customWidth="1"/>
    <col min="5" max="5" width="11" customWidth="1"/>
    <col min="6" max="7" width="10.85546875" customWidth="1"/>
    <col min="8" max="1024" width="9.140625" customWidth="1"/>
  </cols>
  <sheetData>
    <row r="1" spans="1:11" x14ac:dyDescent="0.25">
      <c r="A1" s="12" t="s">
        <v>0</v>
      </c>
      <c r="B1" s="12"/>
      <c r="D1" t="s">
        <v>20</v>
      </c>
    </row>
    <row r="2" spans="1:11" x14ac:dyDescent="0.25">
      <c r="A2" t="s">
        <v>3</v>
      </c>
      <c r="B2" t="s">
        <v>4</v>
      </c>
    </row>
    <row r="3" spans="1:11" x14ac:dyDescent="0.25">
      <c r="A3">
        <v>2000</v>
      </c>
      <c r="B3">
        <f>A3/10^6</f>
        <v>2E-3</v>
      </c>
    </row>
    <row r="4" spans="1:11" x14ac:dyDescent="0.25">
      <c r="D4" s="13" t="s">
        <v>5</v>
      </c>
      <c r="E4" s="13"/>
      <c r="F4" s="13" t="s">
        <v>6</v>
      </c>
      <c r="G4" s="13"/>
      <c r="H4" t="s">
        <v>7</v>
      </c>
      <c r="J4" t="s">
        <v>8</v>
      </c>
      <c r="K4" s="1" t="s">
        <v>9</v>
      </c>
    </row>
    <row r="5" spans="1:11" x14ac:dyDescent="0.25">
      <c r="A5" t="s">
        <v>12</v>
      </c>
      <c r="B5" t="s">
        <v>11</v>
      </c>
      <c r="C5" t="s">
        <v>10</v>
      </c>
      <c r="D5" t="s">
        <v>13</v>
      </c>
      <c r="E5" t="s">
        <v>14</v>
      </c>
      <c r="F5" t="s">
        <v>13</v>
      </c>
      <c r="G5" t="s">
        <v>14</v>
      </c>
    </row>
    <row r="6" spans="1:11" x14ac:dyDescent="0.25">
      <c r="A6" t="s">
        <v>15</v>
      </c>
      <c r="B6" t="s">
        <v>15</v>
      </c>
      <c r="D6" t="s">
        <v>16</v>
      </c>
      <c r="E6" t="s">
        <v>16</v>
      </c>
      <c r="F6" t="s">
        <v>16</v>
      </c>
      <c r="G6" t="s">
        <v>16</v>
      </c>
    </row>
    <row r="7" spans="1:11" x14ac:dyDescent="0.25">
      <c r="A7">
        <f t="shared" ref="A7:A17" si="0">$A$3/B7</f>
        <v>40</v>
      </c>
      <c r="B7">
        <v>50</v>
      </c>
      <c r="C7">
        <f>A7*0.75</f>
        <v>30</v>
      </c>
      <c r="D7" s="2"/>
      <c r="E7" s="2"/>
      <c r="F7" s="3">
        <v>401192.3</v>
      </c>
      <c r="G7" s="2">
        <v>429284.3</v>
      </c>
      <c r="H7" t="e">
        <f t="shared" ref="H7:H17" si="1">(D7-F7)/D7*100</f>
        <v>#DIV/0!</v>
      </c>
      <c r="I7" t="e">
        <f t="shared" ref="I7:I17" si="2">(E7-G7)/E7*100</f>
        <v>#DIV/0!</v>
      </c>
      <c r="J7">
        <f t="shared" ref="J7:J17" si="3">G7-F7</f>
        <v>28092</v>
      </c>
      <c r="K7" t="s">
        <v>17</v>
      </c>
    </row>
    <row r="8" spans="1:11" x14ac:dyDescent="0.25">
      <c r="A8">
        <f t="shared" si="0"/>
        <v>36.363636363636367</v>
      </c>
      <c r="B8">
        <v>55</v>
      </c>
      <c r="C8">
        <f>A8*0.75</f>
        <v>27.272727272727273</v>
      </c>
      <c r="H8" t="e">
        <f t="shared" si="1"/>
        <v>#DIV/0!</v>
      </c>
      <c r="I8" t="e">
        <f t="shared" si="2"/>
        <v>#DIV/0!</v>
      </c>
      <c r="J8">
        <f t="shared" si="3"/>
        <v>0</v>
      </c>
    </row>
    <row r="9" spans="1:11" x14ac:dyDescent="0.25">
      <c r="A9">
        <f t="shared" si="0"/>
        <v>33.333333333333336</v>
      </c>
      <c r="B9">
        <v>60</v>
      </c>
      <c r="C9">
        <f>A9*0.75</f>
        <v>25</v>
      </c>
      <c r="F9">
        <v>399040.6</v>
      </c>
      <c r="G9">
        <v>427254.9</v>
      </c>
      <c r="H9" t="e">
        <f t="shared" si="1"/>
        <v>#DIV/0!</v>
      </c>
      <c r="I9" t="e">
        <f t="shared" si="2"/>
        <v>#DIV/0!</v>
      </c>
      <c r="J9">
        <f t="shared" si="3"/>
        <v>28214.300000000047</v>
      </c>
      <c r="K9" t="s">
        <v>17</v>
      </c>
    </row>
    <row r="10" spans="1:11" x14ac:dyDescent="0.25">
      <c r="A10">
        <f t="shared" si="0"/>
        <v>30.76923076923077</v>
      </c>
      <c r="B10">
        <v>65</v>
      </c>
      <c r="C10">
        <f>A10*0.75</f>
        <v>23.076923076923077</v>
      </c>
      <c r="H10" t="e">
        <f t="shared" si="1"/>
        <v>#DIV/0!</v>
      </c>
      <c r="I10" t="e">
        <f t="shared" si="2"/>
        <v>#DIV/0!</v>
      </c>
      <c r="J10">
        <f t="shared" si="3"/>
        <v>0</v>
      </c>
    </row>
    <row r="11" spans="1:11" x14ac:dyDescent="0.25">
      <c r="A11">
        <f t="shared" si="0"/>
        <v>28.571428571428573</v>
      </c>
      <c r="B11">
        <v>70</v>
      </c>
      <c r="C11">
        <v>20</v>
      </c>
      <c r="F11">
        <v>395832.7</v>
      </c>
      <c r="G11">
        <v>424372.5</v>
      </c>
      <c r="H11" t="e">
        <f t="shared" si="1"/>
        <v>#DIV/0!</v>
      </c>
      <c r="I11" t="e">
        <f t="shared" si="2"/>
        <v>#DIV/0!</v>
      </c>
      <c r="J11">
        <f t="shared" si="3"/>
        <v>28539.799999999988</v>
      </c>
    </row>
    <row r="12" spans="1:11" x14ac:dyDescent="0.25">
      <c r="A12">
        <f t="shared" si="0"/>
        <v>26.666666666666668</v>
      </c>
      <c r="B12">
        <v>75</v>
      </c>
      <c r="C12">
        <f>A12*0.75</f>
        <v>20</v>
      </c>
      <c r="H12" t="e">
        <f t="shared" si="1"/>
        <v>#DIV/0!</v>
      </c>
      <c r="I12" t="e">
        <f t="shared" si="2"/>
        <v>#DIV/0!</v>
      </c>
      <c r="J12">
        <f t="shared" si="3"/>
        <v>0</v>
      </c>
    </row>
    <row r="13" spans="1:11" x14ac:dyDescent="0.25">
      <c r="A13">
        <f t="shared" si="0"/>
        <v>25</v>
      </c>
      <c r="B13">
        <v>80</v>
      </c>
      <c r="C13">
        <v>18</v>
      </c>
      <c r="F13">
        <v>393468.7</v>
      </c>
      <c r="G13">
        <v>422001.6</v>
      </c>
      <c r="H13" t="e">
        <f t="shared" si="1"/>
        <v>#DIV/0!</v>
      </c>
      <c r="I13" t="e">
        <f t="shared" si="2"/>
        <v>#DIV/0!</v>
      </c>
      <c r="J13">
        <f t="shared" si="3"/>
        <v>28532.899999999965</v>
      </c>
      <c r="K13" t="s">
        <v>17</v>
      </c>
    </row>
    <row r="14" spans="1:11" x14ac:dyDescent="0.25">
      <c r="A14">
        <f t="shared" si="0"/>
        <v>23.529411764705884</v>
      </c>
      <c r="B14">
        <v>85</v>
      </c>
      <c r="C14">
        <f>A14*0.75</f>
        <v>17.647058823529413</v>
      </c>
      <c r="H14" t="e">
        <f t="shared" si="1"/>
        <v>#DIV/0!</v>
      </c>
      <c r="I14" t="e">
        <f t="shared" si="2"/>
        <v>#DIV/0!</v>
      </c>
      <c r="J14">
        <f t="shared" si="3"/>
        <v>0</v>
      </c>
    </row>
    <row r="15" spans="1:11" x14ac:dyDescent="0.25">
      <c r="A15">
        <f t="shared" si="0"/>
        <v>22.222222222222221</v>
      </c>
      <c r="B15">
        <v>90</v>
      </c>
      <c r="C15">
        <v>15</v>
      </c>
      <c r="F15">
        <v>392540.7</v>
      </c>
      <c r="G15">
        <v>421132.9</v>
      </c>
      <c r="H15" t="e">
        <f t="shared" si="1"/>
        <v>#DIV/0!</v>
      </c>
      <c r="I15" t="e">
        <f t="shared" si="2"/>
        <v>#DIV/0!</v>
      </c>
      <c r="J15">
        <f t="shared" si="3"/>
        <v>28592.200000000012</v>
      </c>
      <c r="K15" t="s">
        <v>17</v>
      </c>
    </row>
    <row r="16" spans="1:11" x14ac:dyDescent="0.25">
      <c r="A16">
        <f t="shared" si="0"/>
        <v>21.05263157894737</v>
      </c>
      <c r="B16">
        <v>95</v>
      </c>
      <c r="C16">
        <f>A16*0.75</f>
        <v>15.789473684210527</v>
      </c>
      <c r="H16" t="e">
        <f t="shared" si="1"/>
        <v>#DIV/0!</v>
      </c>
      <c r="I16" t="e">
        <f t="shared" si="2"/>
        <v>#DIV/0!</v>
      </c>
      <c r="J16">
        <f t="shared" si="3"/>
        <v>0</v>
      </c>
    </row>
    <row r="17" spans="1:10" x14ac:dyDescent="0.25">
      <c r="A17">
        <f t="shared" si="0"/>
        <v>20</v>
      </c>
      <c r="B17">
        <v>100</v>
      </c>
      <c r="C17">
        <f>A17*0.75</f>
        <v>15</v>
      </c>
      <c r="F17">
        <v>390879.5</v>
      </c>
      <c r="G17">
        <v>419561.6</v>
      </c>
      <c r="H17" t="e">
        <f t="shared" si="1"/>
        <v>#DIV/0!</v>
      </c>
      <c r="I17" t="e">
        <f t="shared" si="2"/>
        <v>#DIV/0!</v>
      </c>
      <c r="J17">
        <f t="shared" si="3"/>
        <v>28682.099999999977</v>
      </c>
    </row>
    <row r="39" spans="1:3" x14ac:dyDescent="0.25">
      <c r="A39" t="s">
        <v>21</v>
      </c>
    </row>
    <row r="40" spans="1:3" x14ac:dyDescent="0.25">
      <c r="A40">
        <v>0</v>
      </c>
      <c r="B40">
        <v>381619.3</v>
      </c>
      <c r="C40">
        <v>419867.5</v>
      </c>
    </row>
    <row r="41" spans="1:3" x14ac:dyDescent="0.25">
      <c r="A41">
        <v>1</v>
      </c>
      <c r="B41">
        <v>370132.5</v>
      </c>
      <c r="C41">
        <v>409323.6</v>
      </c>
    </row>
    <row r="42" spans="1:3" x14ac:dyDescent="0.25">
      <c r="A42">
        <v>2</v>
      </c>
      <c r="B42">
        <v>359284.3</v>
      </c>
      <c r="C42">
        <v>399409.9</v>
      </c>
    </row>
  </sheetData>
  <mergeCells count="3">
    <mergeCell ref="A1:B1"/>
    <mergeCell ref="D4:E4"/>
    <mergeCell ref="F4:G4"/>
  </mergeCells>
  <pageMargins left="0" right="0" top="0.39370078740157477" bottom="0.39370078740157477" header="0" footer="0"/>
  <pageSetup paperSize="0" fitToWidth="0" fitToHeight="0" pageOrder="overThenDown" horizontalDpi="0" verticalDpi="0" copies="0"/>
  <headerFooter>
    <oddHeader>&amp;C&amp;A</oddHeader>
    <oddFooter>&amp;CStrona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861E8-C515-4286-B38A-AB461750AD11}">
  <dimension ref="A1:K42"/>
  <sheetViews>
    <sheetView workbookViewId="0">
      <selection sqref="A1:B1"/>
    </sheetView>
  </sheetViews>
  <sheetFormatPr defaultRowHeight="15" x14ac:dyDescent="0.25"/>
  <cols>
    <col min="1" max="3" width="9.140625" customWidth="1"/>
    <col min="4" max="4" width="10.85546875" customWidth="1"/>
    <col min="5" max="5" width="11" customWidth="1"/>
    <col min="6" max="7" width="10.85546875" customWidth="1"/>
    <col min="8" max="1024" width="9.140625" customWidth="1"/>
  </cols>
  <sheetData>
    <row r="1" spans="1:11" x14ac:dyDescent="0.25">
      <c r="A1" s="12" t="s">
        <v>0</v>
      </c>
      <c r="B1" s="12"/>
      <c r="D1" t="s">
        <v>22</v>
      </c>
    </row>
    <row r="2" spans="1:11" x14ac:dyDescent="0.25">
      <c r="A2" t="s">
        <v>3</v>
      </c>
      <c r="B2" t="s">
        <v>4</v>
      </c>
    </row>
    <row r="3" spans="1:11" x14ac:dyDescent="0.25">
      <c r="A3">
        <v>2000</v>
      </c>
      <c r="B3">
        <f>A3/10^6</f>
        <v>2E-3</v>
      </c>
    </row>
    <row r="4" spans="1:11" x14ac:dyDescent="0.25">
      <c r="D4" s="13" t="s">
        <v>5</v>
      </c>
      <c r="E4" s="13"/>
      <c r="F4" s="13" t="s">
        <v>6</v>
      </c>
      <c r="G4" s="13"/>
      <c r="H4" t="s">
        <v>7</v>
      </c>
      <c r="J4" s="13" t="s">
        <v>9</v>
      </c>
      <c r="K4" s="13"/>
    </row>
    <row r="5" spans="1:11" x14ac:dyDescent="0.25">
      <c r="A5" t="s">
        <v>12</v>
      </c>
      <c r="B5" t="s">
        <v>11</v>
      </c>
      <c r="C5" t="s">
        <v>10</v>
      </c>
      <c r="D5" t="s">
        <v>13</v>
      </c>
      <c r="E5" t="s">
        <v>14</v>
      </c>
      <c r="F5" t="s">
        <v>13</v>
      </c>
      <c r="G5" t="s">
        <v>14</v>
      </c>
    </row>
    <row r="6" spans="1:11" x14ac:dyDescent="0.25">
      <c r="A6" t="s">
        <v>15</v>
      </c>
      <c r="B6" t="s">
        <v>15</v>
      </c>
      <c r="D6" t="s">
        <v>16</v>
      </c>
      <c r="E6" t="s">
        <v>16</v>
      </c>
      <c r="F6" t="s">
        <v>16</v>
      </c>
      <c r="G6" t="s">
        <v>16</v>
      </c>
    </row>
    <row r="7" spans="1:11" x14ac:dyDescent="0.25">
      <c r="A7">
        <f t="shared" ref="A7:A15" si="0">$A$3/B7</f>
        <v>40</v>
      </c>
      <c r="B7">
        <v>50</v>
      </c>
      <c r="C7">
        <f>A7*0.75</f>
        <v>30</v>
      </c>
      <c r="D7" s="2">
        <v>427823.1</v>
      </c>
      <c r="E7" s="2">
        <v>462692.8</v>
      </c>
      <c r="F7" s="3">
        <v>425820.29</v>
      </c>
      <c r="G7" s="2">
        <v>460824.8</v>
      </c>
      <c r="H7">
        <f t="shared" ref="H7:H15" si="1">(D7-F7)/D7*100</f>
        <v>0.46813975215456993</v>
      </c>
      <c r="I7">
        <f t="shared" ref="I7:I15" si="2">(E7-G7)/E7*100</f>
        <v>0.40372359371055705</v>
      </c>
      <c r="J7">
        <f t="shared" ref="J7:J15" si="3">G7-F7</f>
        <v>35004.510000000009</v>
      </c>
      <c r="K7" t="s">
        <v>17</v>
      </c>
    </row>
    <row r="8" spans="1:11" x14ac:dyDescent="0.25">
      <c r="A8">
        <f t="shared" si="0"/>
        <v>36.363636363636367</v>
      </c>
      <c r="B8">
        <v>55</v>
      </c>
      <c r="C8">
        <f>A8*0.75</f>
        <v>27.272727272727273</v>
      </c>
      <c r="H8" t="e">
        <f t="shared" si="1"/>
        <v>#DIV/0!</v>
      </c>
      <c r="I8" t="e">
        <f t="shared" si="2"/>
        <v>#DIV/0!</v>
      </c>
      <c r="J8">
        <f t="shared" si="3"/>
        <v>0</v>
      </c>
    </row>
    <row r="9" spans="1:11" x14ac:dyDescent="0.25">
      <c r="A9">
        <f t="shared" si="0"/>
        <v>33.333333333333336</v>
      </c>
      <c r="B9">
        <v>60</v>
      </c>
      <c r="C9">
        <f>A9*0.75</f>
        <v>25</v>
      </c>
      <c r="F9">
        <v>423634.5</v>
      </c>
      <c r="G9">
        <v>458794</v>
      </c>
      <c r="H9" t="e">
        <f t="shared" si="1"/>
        <v>#DIV/0!</v>
      </c>
      <c r="I9" t="e">
        <f t="shared" si="2"/>
        <v>#DIV/0!</v>
      </c>
      <c r="J9">
        <f t="shared" si="3"/>
        <v>35159.5</v>
      </c>
      <c r="K9" t="s">
        <v>17</v>
      </c>
    </row>
    <row r="10" spans="1:11" x14ac:dyDescent="0.25">
      <c r="A10">
        <f t="shared" si="0"/>
        <v>30.76923076923077</v>
      </c>
      <c r="B10">
        <v>65</v>
      </c>
      <c r="C10">
        <f>A10*0.75</f>
        <v>23.076923076923077</v>
      </c>
      <c r="H10" t="e">
        <f t="shared" si="1"/>
        <v>#DIV/0!</v>
      </c>
      <c r="I10" t="e">
        <f t="shared" si="2"/>
        <v>#DIV/0!</v>
      </c>
      <c r="J10">
        <f t="shared" si="3"/>
        <v>0</v>
      </c>
    </row>
    <row r="11" spans="1:11" x14ac:dyDescent="0.25">
      <c r="A11">
        <f t="shared" si="0"/>
        <v>28.571428571428573</v>
      </c>
      <c r="B11">
        <v>70</v>
      </c>
      <c r="C11">
        <v>20</v>
      </c>
      <c r="D11">
        <v>435503.8</v>
      </c>
      <c r="E11">
        <v>470041.4</v>
      </c>
      <c r="F11">
        <v>422040.2</v>
      </c>
      <c r="G11">
        <v>457478.5</v>
      </c>
      <c r="H11">
        <f t="shared" si="1"/>
        <v>3.0915000052812345</v>
      </c>
      <c r="I11">
        <f t="shared" si="2"/>
        <v>2.6727220198050685</v>
      </c>
      <c r="J11">
        <f t="shared" si="3"/>
        <v>35438.299999999988</v>
      </c>
    </row>
    <row r="12" spans="1:11" x14ac:dyDescent="0.25">
      <c r="A12">
        <f t="shared" si="0"/>
        <v>26.666666666666668</v>
      </c>
      <c r="B12">
        <v>75</v>
      </c>
      <c r="C12">
        <f>A12*0.75</f>
        <v>20</v>
      </c>
      <c r="H12" t="e">
        <f t="shared" si="1"/>
        <v>#DIV/0!</v>
      </c>
      <c r="I12" t="e">
        <f t="shared" si="2"/>
        <v>#DIV/0!</v>
      </c>
      <c r="J12">
        <f t="shared" si="3"/>
        <v>0</v>
      </c>
    </row>
    <row r="13" spans="1:11" x14ac:dyDescent="0.25">
      <c r="A13">
        <f t="shared" si="0"/>
        <v>25</v>
      </c>
      <c r="B13">
        <v>80</v>
      </c>
      <c r="C13">
        <v>18</v>
      </c>
      <c r="F13">
        <v>419458.7</v>
      </c>
      <c r="G13">
        <v>454893.1</v>
      </c>
      <c r="H13" t="e">
        <f t="shared" si="1"/>
        <v>#DIV/0!</v>
      </c>
      <c r="I13" t="e">
        <f t="shared" si="2"/>
        <v>#DIV/0!</v>
      </c>
      <c r="J13">
        <f t="shared" si="3"/>
        <v>35434.399999999965</v>
      </c>
      <c r="K13" t="s">
        <v>17</v>
      </c>
    </row>
    <row r="14" spans="1:11" x14ac:dyDescent="0.25">
      <c r="A14">
        <f t="shared" si="0"/>
        <v>23.529411764705884</v>
      </c>
      <c r="B14">
        <v>85</v>
      </c>
      <c r="C14">
        <f>A14*0.75</f>
        <v>17.647058823529413</v>
      </c>
      <c r="H14" t="e">
        <f t="shared" si="1"/>
        <v>#DIV/0!</v>
      </c>
      <c r="I14" t="e">
        <f t="shared" si="2"/>
        <v>#DIV/0!</v>
      </c>
      <c r="J14">
        <f t="shared" si="3"/>
        <v>0</v>
      </c>
    </row>
    <row r="15" spans="1:11" x14ac:dyDescent="0.25">
      <c r="A15">
        <f t="shared" si="0"/>
        <v>22.222222222222221</v>
      </c>
      <c r="B15">
        <v>90</v>
      </c>
      <c r="C15">
        <v>16</v>
      </c>
      <c r="D15">
        <v>437315</v>
      </c>
      <c r="E15">
        <v>471566.6</v>
      </c>
      <c r="F15">
        <v>417542.2</v>
      </c>
      <c r="G15">
        <v>453114.6</v>
      </c>
      <c r="H15">
        <f t="shared" si="1"/>
        <v>4.5214090529709674</v>
      </c>
      <c r="I15">
        <f t="shared" si="2"/>
        <v>3.9129149519919353</v>
      </c>
      <c r="J15">
        <f t="shared" si="3"/>
        <v>35572.399999999965</v>
      </c>
      <c r="K15" t="s">
        <v>17</v>
      </c>
    </row>
    <row r="39" spans="1:3" x14ac:dyDescent="0.25">
      <c r="A39" t="s">
        <v>21</v>
      </c>
    </row>
    <row r="40" spans="1:3" x14ac:dyDescent="0.25">
      <c r="A40">
        <v>0</v>
      </c>
      <c r="B40">
        <v>381619.3</v>
      </c>
      <c r="C40">
        <v>419867.5</v>
      </c>
    </row>
    <row r="41" spans="1:3" x14ac:dyDescent="0.25">
      <c r="A41">
        <v>1</v>
      </c>
      <c r="B41">
        <v>370132.5</v>
      </c>
      <c r="C41">
        <v>409323.6</v>
      </c>
    </row>
    <row r="42" spans="1:3" x14ac:dyDescent="0.25">
      <c r="A42">
        <v>2</v>
      </c>
      <c r="B42">
        <v>359284.3</v>
      </c>
      <c r="C42">
        <v>399409.9</v>
      </c>
    </row>
  </sheetData>
  <mergeCells count="4">
    <mergeCell ref="A1:B1"/>
    <mergeCell ref="D4:E4"/>
    <mergeCell ref="F4:G4"/>
    <mergeCell ref="J4:K4"/>
  </mergeCells>
  <pageMargins left="0.7" right="0.7" top="1.1437007874015748" bottom="1.1437007874015748" header="0.75" footer="0.75"/>
  <pageSetup paperSize="0" fitToWidth="0" fitToHeight="0" orientation="portrait" horizontalDpi="0" verticalDpi="0" copies="0"/>
  <headerFooter alignWithMargins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21E17-F3D9-4FCA-B237-6B671A86DAEB}">
  <dimension ref="A1:K42"/>
  <sheetViews>
    <sheetView topLeftCell="F1" workbookViewId="0">
      <selection sqref="A1:B1"/>
    </sheetView>
  </sheetViews>
  <sheetFormatPr defaultRowHeight="15" x14ac:dyDescent="0.25"/>
  <cols>
    <col min="1" max="3" width="9.140625" customWidth="1"/>
    <col min="4" max="4" width="10.85546875" customWidth="1"/>
    <col min="5" max="5" width="11" customWidth="1"/>
    <col min="6" max="7" width="10.85546875" customWidth="1"/>
    <col min="8" max="1024" width="9.140625" customWidth="1"/>
  </cols>
  <sheetData>
    <row r="1" spans="1:11" x14ac:dyDescent="0.25">
      <c r="A1" s="12" t="s">
        <v>0</v>
      </c>
      <c r="B1" s="12"/>
    </row>
    <row r="2" spans="1:11" x14ac:dyDescent="0.25">
      <c r="A2" t="s">
        <v>3</v>
      </c>
      <c r="B2" t="s">
        <v>4</v>
      </c>
    </row>
    <row r="3" spans="1:11" x14ac:dyDescent="0.25">
      <c r="A3">
        <v>2000</v>
      </c>
      <c r="B3">
        <f>A3/10^6</f>
        <v>2E-3</v>
      </c>
    </row>
    <row r="4" spans="1:11" x14ac:dyDescent="0.25">
      <c r="D4" s="13" t="s">
        <v>5</v>
      </c>
      <c r="E4" s="13"/>
      <c r="F4" s="13" t="s">
        <v>6</v>
      </c>
      <c r="G4" s="13"/>
      <c r="H4" t="s">
        <v>7</v>
      </c>
      <c r="J4" s="13" t="s">
        <v>9</v>
      </c>
      <c r="K4" s="13"/>
    </row>
    <row r="5" spans="1:11" x14ac:dyDescent="0.25">
      <c r="A5" t="s">
        <v>12</v>
      </c>
      <c r="B5" t="s">
        <v>11</v>
      </c>
      <c r="D5" t="s">
        <v>13</v>
      </c>
      <c r="E5" t="s">
        <v>14</v>
      </c>
      <c r="F5" t="s">
        <v>13</v>
      </c>
      <c r="G5" t="s">
        <v>14</v>
      </c>
    </row>
    <row r="6" spans="1:11" x14ac:dyDescent="0.25">
      <c r="A6" t="s">
        <v>15</v>
      </c>
      <c r="B6" t="s">
        <v>15</v>
      </c>
      <c r="D6" t="s">
        <v>16</v>
      </c>
      <c r="E6" t="s">
        <v>16</v>
      </c>
      <c r="F6" t="s">
        <v>16</v>
      </c>
      <c r="G6" t="s">
        <v>16</v>
      </c>
    </row>
    <row r="7" spans="1:11" x14ac:dyDescent="0.25">
      <c r="A7">
        <f t="shared" ref="A7:A15" si="0">$A$3/B7</f>
        <v>40</v>
      </c>
      <c r="B7">
        <v>50</v>
      </c>
      <c r="D7" s="2">
        <v>427823.1</v>
      </c>
      <c r="E7" s="2">
        <v>462692.8</v>
      </c>
      <c r="F7" s="2">
        <v>423560.2</v>
      </c>
      <c r="G7" s="2">
        <v>458728.5</v>
      </c>
      <c r="H7">
        <f t="shared" ref="H7:H15" si="1">(D7-F7)/D7*100</f>
        <v>0.99641650953395577</v>
      </c>
      <c r="I7">
        <f t="shared" ref="I7:I15" si="2">(E7-G7)/E7*100</f>
        <v>0.8567887808066148</v>
      </c>
      <c r="K7" t="s">
        <v>17</v>
      </c>
    </row>
    <row r="8" spans="1:11" x14ac:dyDescent="0.25">
      <c r="A8">
        <f t="shared" si="0"/>
        <v>36.363636363636367</v>
      </c>
      <c r="B8">
        <v>55</v>
      </c>
      <c r="H8" t="e">
        <f t="shared" si="1"/>
        <v>#DIV/0!</v>
      </c>
      <c r="I8" t="e">
        <f t="shared" si="2"/>
        <v>#DIV/0!</v>
      </c>
    </row>
    <row r="9" spans="1:11" x14ac:dyDescent="0.25">
      <c r="A9">
        <f t="shared" si="0"/>
        <v>33.333333333333336</v>
      </c>
      <c r="B9">
        <v>60</v>
      </c>
      <c r="F9">
        <v>427691.8</v>
      </c>
      <c r="G9">
        <v>462578.2</v>
      </c>
      <c r="H9" t="e">
        <f t="shared" si="1"/>
        <v>#DIV/0!</v>
      </c>
      <c r="I9" t="e">
        <f t="shared" si="2"/>
        <v>#DIV/0!</v>
      </c>
      <c r="K9" t="s">
        <v>17</v>
      </c>
    </row>
    <row r="10" spans="1:11" x14ac:dyDescent="0.25">
      <c r="A10">
        <f t="shared" si="0"/>
        <v>30.76923076923077</v>
      </c>
      <c r="B10">
        <v>65</v>
      </c>
      <c r="H10" t="e">
        <f t="shared" si="1"/>
        <v>#DIV/0!</v>
      </c>
      <c r="I10" t="e">
        <f t="shared" si="2"/>
        <v>#DIV/0!</v>
      </c>
    </row>
    <row r="11" spans="1:11" x14ac:dyDescent="0.25">
      <c r="A11">
        <f t="shared" si="0"/>
        <v>28.571428571428573</v>
      </c>
      <c r="B11">
        <v>70</v>
      </c>
      <c r="D11">
        <v>435503.8</v>
      </c>
      <c r="E11">
        <v>470041.4</v>
      </c>
      <c r="F11">
        <v>427071.9</v>
      </c>
      <c r="G11">
        <v>462175.1</v>
      </c>
      <c r="H11">
        <f t="shared" si="1"/>
        <v>1.9361254712358344</v>
      </c>
      <c r="I11">
        <f t="shared" si="2"/>
        <v>1.6735334376929449</v>
      </c>
    </row>
    <row r="12" spans="1:11" x14ac:dyDescent="0.25">
      <c r="A12">
        <f t="shared" si="0"/>
        <v>26.666666666666668</v>
      </c>
      <c r="B12">
        <v>75</v>
      </c>
      <c r="H12" t="e">
        <f t="shared" si="1"/>
        <v>#DIV/0!</v>
      </c>
      <c r="I12" t="e">
        <f t="shared" si="2"/>
        <v>#DIV/0!</v>
      </c>
    </row>
    <row r="13" spans="1:11" x14ac:dyDescent="0.25">
      <c r="A13">
        <f t="shared" si="0"/>
        <v>25</v>
      </c>
      <c r="B13">
        <v>80</v>
      </c>
      <c r="F13">
        <v>424456</v>
      </c>
      <c r="G13">
        <v>459556</v>
      </c>
      <c r="H13" t="e">
        <f t="shared" si="1"/>
        <v>#DIV/0!</v>
      </c>
      <c r="I13" t="e">
        <f t="shared" si="2"/>
        <v>#DIV/0!</v>
      </c>
      <c r="K13" t="s">
        <v>17</v>
      </c>
    </row>
    <row r="14" spans="1:11" x14ac:dyDescent="0.25">
      <c r="A14">
        <f t="shared" si="0"/>
        <v>23.529411764705884</v>
      </c>
      <c r="B14">
        <v>85</v>
      </c>
      <c r="H14" t="e">
        <f t="shared" si="1"/>
        <v>#DIV/0!</v>
      </c>
      <c r="I14" t="e">
        <f t="shared" si="2"/>
        <v>#DIV/0!</v>
      </c>
    </row>
    <row r="15" spans="1:11" x14ac:dyDescent="0.25">
      <c r="A15">
        <f t="shared" si="0"/>
        <v>22.222222222222221</v>
      </c>
      <c r="B15">
        <v>90</v>
      </c>
      <c r="D15">
        <v>437315</v>
      </c>
      <c r="E15">
        <v>471566.6</v>
      </c>
      <c r="F15">
        <v>423274.5</v>
      </c>
      <c r="G15">
        <v>458454.8</v>
      </c>
      <c r="H15">
        <f t="shared" si="1"/>
        <v>3.2106147742473961</v>
      </c>
      <c r="I15">
        <f t="shared" si="2"/>
        <v>2.7804768191810001</v>
      </c>
      <c r="K15" t="s">
        <v>17</v>
      </c>
    </row>
    <row r="39" spans="1:3" x14ac:dyDescent="0.25">
      <c r="A39" t="s">
        <v>21</v>
      </c>
    </row>
    <row r="40" spans="1:3" x14ac:dyDescent="0.25">
      <c r="A40">
        <v>0</v>
      </c>
      <c r="B40">
        <v>370201.1</v>
      </c>
      <c r="C40">
        <v>409386.5</v>
      </c>
    </row>
    <row r="41" spans="1:3" x14ac:dyDescent="0.25">
      <c r="A41">
        <v>1</v>
      </c>
      <c r="B41">
        <v>370132.5</v>
      </c>
      <c r="C41">
        <v>409323.6</v>
      </c>
    </row>
    <row r="42" spans="1:3" x14ac:dyDescent="0.25">
      <c r="A42">
        <v>2</v>
      </c>
      <c r="B42">
        <v>359284.3</v>
      </c>
      <c r="C42">
        <v>399409.9</v>
      </c>
    </row>
  </sheetData>
  <mergeCells count="4">
    <mergeCell ref="A1:B1"/>
    <mergeCell ref="D4:E4"/>
    <mergeCell ref="F4:G4"/>
    <mergeCell ref="J4:K4"/>
  </mergeCells>
  <pageMargins left="0.7" right="0.7" top="1.1437007874015748" bottom="1.1437007874015748" header="0.75" footer="0.75"/>
  <pageSetup paperSize="0" fitToWidth="0" fitToHeight="0" orientation="portrait" horizontalDpi="0" verticalDpi="0" copies="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1326</TotalTime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variable_inlet</vt:lpstr>
      <vt:lpstr>Arkusz03kg</vt:lpstr>
      <vt:lpstr>arkusz do profilu</vt:lpstr>
      <vt:lpstr>Arkusz3</vt:lpstr>
      <vt:lpstr>Arkusz1_2</vt:lpstr>
      <vt:lpstr>Arkusz1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Bartek</dc:creator>
  <cp:lastModifiedBy>Bartosz Matusiak</cp:lastModifiedBy>
  <cp:revision>18</cp:revision>
  <dcterms:created xsi:type="dcterms:W3CDTF">2006-09-16T00:00:00Z</dcterms:created>
  <dcterms:modified xsi:type="dcterms:W3CDTF">2025-01-22T14:55:31Z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r8>0</vt:r8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qrichtext">
    <vt:lpwstr>1</vt:lpwstr>
  </property>
</Properties>
</file>